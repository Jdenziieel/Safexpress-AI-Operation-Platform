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 Process Flow Sample Template" sheetId="1" r:id="rId5"/>
    <sheet state="hidden" name="B. Assmptns,Vlme,Prdctvty" sheetId="2" r:id="rId6"/>
    <sheet state="hidden" name="PROD SUMMARY 2" sheetId="3" r:id="rId7"/>
    <sheet state="visible" name="SUMMARY" sheetId="4" r:id="rId8"/>
    <sheet state="visible" name="JACKWRAP UTILIZATION" sheetId="5" r:id="rId9"/>
    <sheet state="visible" name="INBOUND CHECKING" sheetId="6" r:id="rId10"/>
    <sheet state="visible" name="PUT-AWAY" sheetId="7" r:id="rId11"/>
    <sheet state="visible" name="PICKING" sheetId="8" r:id="rId12"/>
    <sheet state="visible" name="OUTBOUND CHECKING" sheetId="9" r:id="rId13"/>
    <sheet state="hidden" name="10. QUALITY CHECKING" sheetId="10" r:id="rId14"/>
    <sheet state="hidden" name="PICKING-MONDELEZ" sheetId="11" r:id="rId15"/>
    <sheet state="hidden" name="PICKING-PILMICO" sheetId="12" r:id="rId16"/>
    <sheet state="hidden" name="PICKING-SLB" sheetId="13" r:id="rId17"/>
    <sheet state="hidden" name="QC 3" sheetId="14" r:id="rId18"/>
    <sheet state="hidden" name="Q.C. " sheetId="15" r:id="rId19"/>
    <sheet state="hidden" name="FINAL Q.C. - SLB" sheetId="16" r:id="rId20"/>
    <sheet state="hidden" name="PACKING LARGE" sheetId="17" r:id="rId21"/>
    <sheet state="hidden" name="PACKING BULKY" sheetId="18" r:id="rId22"/>
    <sheet state="hidden" name="Q.C.-SLB" sheetId="19" r:id="rId23"/>
    <sheet state="hidden" name="PACKING-SLB" sheetId="20" r:id="rId24"/>
    <sheet state="hidden" name="PACKING-MON" sheetId="21" r:id="rId25"/>
    <sheet state="hidden" name="PACKING-PILMICO" sheetId="22" r:id="rId26"/>
    <sheet state="hidden" name="CANCEL" sheetId="23" r:id="rId27"/>
    <sheet state="hidden" name="RETURNS" sheetId="24" r:id="rId28"/>
  </sheets>
  <definedNames>
    <definedName localSheetId="20" name="DIV">#REF!</definedName>
    <definedName name="suppliers.name">#REF!</definedName>
    <definedName localSheetId="14" name="NP">#REF!</definedName>
    <definedName name="NP">#REF!</definedName>
    <definedName localSheetId="20" name="VM">#REF!</definedName>
    <definedName localSheetId="14" name="DIV">#REF!</definedName>
    <definedName localSheetId="14" name="DEPT">#REF!</definedName>
    <definedName localSheetId="14" name="Period">#REF!</definedName>
    <definedName localSheetId="20" name="NP">#REF!</definedName>
    <definedName localSheetId="14" name="VM">#REF!</definedName>
    <definedName name="PD">#REF!</definedName>
    <definedName localSheetId="20" name="n.p">#REF!</definedName>
    <definedName localSheetId="14" name="RNYR">#REF!</definedName>
    <definedName name="n.p">#REF!</definedName>
    <definedName localSheetId="14" name="suppliers.name">#REF!</definedName>
    <definedName localSheetId="20" name="a">#REF!</definedName>
    <definedName localSheetId="14" name="CO">#REF!</definedName>
    <definedName name="YR">#REF!</definedName>
    <definedName localSheetId="14" name="YR">#REF!</definedName>
    <definedName name="RNYR">#REF!</definedName>
    <definedName localSheetId="14" name="PD">#REF!</definedName>
    <definedName name="Period">#REF!</definedName>
    <definedName name="DIV">#REF!</definedName>
    <definedName localSheetId="14" name="a">#REF!</definedName>
    <definedName name="DEPT">#REF!</definedName>
    <definedName localSheetId="20" name="Period">#REF!</definedName>
    <definedName name="CO">#REF!</definedName>
    <definedName localSheetId="20" name="suppliers.name">#REF!</definedName>
    <definedName name="a">#REF!</definedName>
    <definedName localSheetId="20" name="CO">#REF!</definedName>
    <definedName localSheetId="20" name="RNYR">#REF!</definedName>
    <definedName name="VM">#REF!</definedName>
    <definedName localSheetId="14" name="n.p">#REF!</definedName>
    <definedName localSheetId="20" name="PD">#REF!</definedName>
    <definedName localSheetId="20" name="YR">#REF!</definedName>
    <definedName localSheetId="20" name="DEPT">#REF!</definedName>
  </definedNames>
  <calcPr/>
</workbook>
</file>

<file path=xl/sharedStrings.xml><?xml version="1.0" encoding="utf-8"?>
<sst xmlns="http://schemas.openxmlformats.org/spreadsheetml/2006/main" count="2453" uniqueCount="528">
  <si>
    <t>1. ACTIVITY: INBOUND</t>
  </si>
  <si>
    <t>STEP #</t>
  </si>
  <si>
    <t>ELEMENTS</t>
  </si>
  <si>
    <t>AVE (sec)</t>
  </si>
  <si>
    <t>MAX(sec)</t>
  </si>
  <si>
    <t>AVE (min)</t>
  </si>
  <si>
    <t>MAX(min)</t>
  </si>
  <si>
    <t>%</t>
  </si>
  <si>
    <t>BOTTLENECK</t>
  </si>
  <si>
    <t>RECOMMENDATION</t>
  </si>
  <si>
    <t>TOTAL</t>
  </si>
  <si>
    <t>ACTIVITY: PUTAWAY (HIGH-JUMP)</t>
  </si>
  <si>
    <t>2. ACTIVITY: PUTAWAY (HATIO)</t>
  </si>
  <si>
    <t>3. ACTIVITY: RELEASE OF ORDERS (HIGH-JUMP)</t>
  </si>
  <si>
    <t>3.1 ACTIVITY: RELEASE OF ORDERS (HATIO)</t>
  </si>
  <si>
    <t>4. ACTIVITY: BATCH BY ORDER (HIGH-JUMP)</t>
  </si>
  <si>
    <t>5. ACTIVITY: SUMMARY OF ORDERS (HIGH-JUMP)</t>
  </si>
  <si>
    <t>6. ACTIVITY: WAYBILL PRINTING (HIGH-JUMP)</t>
  </si>
  <si>
    <t>7. ACTIVITY: BULK PICKING (HIGH-JUMP)</t>
  </si>
  <si>
    <t>8. ACTIVITY: SORTING OF WAYBILL (HIGH-JUMP)</t>
  </si>
  <si>
    <t>8.1 ACTIVITY: SORTING OF PRODUCTS (HIGH-JUMP)</t>
  </si>
  <si>
    <t>9. ACTIVITY: ACTUAL PICKING (HIGH-JUMP)</t>
  </si>
  <si>
    <t>9.1 ACTIVITY: PICKING MONDELEZ (HATIO)</t>
  </si>
  <si>
    <t>9.2 ACTIVITY: PICKING PILIMICO (HATIO)</t>
  </si>
  <si>
    <t>9.3 ACTIVITY: PICKING SLB (HATIO)</t>
  </si>
  <si>
    <t>10. ACTIVITY: QUALITY CHECKING - MANUAL CHECKING SMALL - (HIGH-JUMP)</t>
  </si>
  <si>
    <t>10.1 ACTIVITY: QUALITY CHECKING - MANUAL CHECKING MEDIUM (HIGH-JUMP)</t>
  </si>
  <si>
    <t>10.2 ACTIVITY: QUALITY CHECKING - MANUAL CHECKING LARGE TO BULKY (HIGH-JUMP)</t>
  </si>
  <si>
    <t>10.3 ACTIVITY: QUALITY CHECKING - SCANNING PACKER ASSIGNMENT (HIGH-JUMP)</t>
  </si>
  <si>
    <t>10.4 ACTIVITY: QUALITY CHECKING - SMALL - (HATIO)</t>
  </si>
  <si>
    <t>10.4 ACTIVITY: QUALITY CHECKING - MEDIUM - (HATIO)</t>
  </si>
  <si>
    <t>10.5 ACTIVITY: QUALITY CHECKING - LARGE - (HATIO)</t>
  </si>
  <si>
    <t>10.6 ACTIVITY: QUALITY CHECKING - BULKY - (HATIO)</t>
  </si>
  <si>
    <t>11. ACTIVITY: PACKING SMALL (HIGH-JUMP)</t>
  </si>
  <si>
    <t>11.1 ACTIVITY: PACKING MEDIUM (HIGH-JUMP)</t>
  </si>
  <si>
    <t>11.2 ACTIVITY: PACKING LARGE (HIGH-JUMP)</t>
  </si>
  <si>
    <t>11.3 ACTIVITY: PACKING BULKY (HIGH-JUMP)</t>
  </si>
  <si>
    <t>11.4 ACTIVITY: PACKING SMALL (HATIO)</t>
  </si>
  <si>
    <t>11.5 ACTIVITY: PACKING MEDIUM (HATIO)</t>
  </si>
  <si>
    <t>11.6 ACTIVITY: PACKING LARGE (HATIO)</t>
  </si>
  <si>
    <t>11.7 ACTIVITY: PACKING BULKY (HATIO)</t>
  </si>
  <si>
    <t>12. ACTIVITY: LOADSHIP (HIGH-JUMP)</t>
  </si>
  <si>
    <t>REMARKS</t>
  </si>
  <si>
    <t xml:space="preserve">13. ACTIVITY: OUTBOUND </t>
  </si>
  <si>
    <t>14. ACTIVITY: RETURNS (HATIO)</t>
  </si>
  <si>
    <t>14.1 ACTIVITY: RETURNS (HIGH JUMP)</t>
  </si>
  <si>
    <t>ACTIVITY: CANCEL (HATIO)</t>
  </si>
  <si>
    <t>15. ACTIVITY: CANCEL (HATIO)</t>
  </si>
  <si>
    <t>I. ASSUMPTIONS</t>
  </si>
  <si>
    <t>Operating Hours</t>
  </si>
  <si>
    <r>
      <rPr>
        <rFont val="Calibri"/>
        <color theme="1"/>
        <sz val="11.0"/>
      </rPr>
      <t xml:space="preserve">UOM
</t>
    </r>
    <r>
      <rPr>
        <rFont val="Calibri"/>
        <i/>
        <color theme="1"/>
        <sz val="9.0"/>
      </rPr>
      <t>(unit of measurement)</t>
    </r>
  </si>
  <si>
    <t>No. of Weeks per Year (2021)</t>
  </si>
  <si>
    <t>weeks</t>
  </si>
  <si>
    <t>No. of Weeks per Month</t>
  </si>
  <si>
    <t>No. of Days per Month</t>
  </si>
  <si>
    <t>days</t>
  </si>
  <si>
    <t>Working Hours per Day</t>
  </si>
  <si>
    <t>hours</t>
  </si>
  <si>
    <t>Reference:</t>
  </si>
  <si>
    <t>https://www.timeanddate.com/date/workdays.html?d1=1&amp;m1=1&amp;y1=2021&amp;d2=31&amp;m2=12&amp;y2=2021&amp;ti=on&amp;</t>
  </si>
  <si>
    <t>II. VOLUME</t>
  </si>
  <si>
    <t>Existing Volume</t>
  </si>
  <si>
    <t>40% Volume Increase</t>
  </si>
  <si>
    <t>Ave No. of Stores per Pick-up</t>
  </si>
  <si>
    <t>Ave No. of Trucks (Ave: 3 drops) per day</t>
  </si>
  <si>
    <t>Number of Pallets per Pick-up</t>
  </si>
  <si>
    <t>Ave No. of 10W per Pick-up</t>
  </si>
  <si>
    <t>Ave No. of CBM per day</t>
  </si>
  <si>
    <t>Ave Weight per Pick-up</t>
  </si>
  <si>
    <t>Ave Invoice Value per Pick-up</t>
  </si>
  <si>
    <t>Ave. No of Pallets per day</t>
  </si>
  <si>
    <t>II. PRODUCTIVITY SUMMARY</t>
  </si>
  <si>
    <t>NO</t>
  </si>
  <si>
    <t>PROCESS</t>
  </si>
  <si>
    <t>UOM</t>
  </si>
  <si>
    <t>Standard Time per Unit (secs)</t>
  </si>
  <si>
    <t>Standard Time per Unit (minutes)</t>
  </si>
  <si>
    <t>Productivity Unit per Man-hour</t>
  </si>
  <si>
    <t>Productivity Unit per Man-day @ 8 hrs</t>
  </si>
  <si>
    <t>Per Box</t>
  </si>
  <si>
    <t>Per Item</t>
  </si>
  <si>
    <t>Per Pallet</t>
  </si>
  <si>
    <t>Per Sales Invoice</t>
  </si>
  <si>
    <t>Per Order</t>
  </si>
  <si>
    <t>Per Batch</t>
  </si>
  <si>
    <t>Per Wave</t>
  </si>
  <si>
    <t>Per SOP/Mother Picklist</t>
  </si>
  <si>
    <t>Per Waybill/Order</t>
  </si>
  <si>
    <t>Per SI/PO</t>
  </si>
  <si>
    <t>Per order</t>
  </si>
  <si>
    <t>Per Cart</t>
  </si>
  <si>
    <t>Per Basket</t>
  </si>
  <si>
    <t>Per Parcel</t>
  </si>
  <si>
    <t>Per Courier</t>
  </si>
  <si>
    <t>PRODUCTIVITY SUMMARY</t>
  </si>
  <si>
    <t xml:space="preserve"> PICKLIST,STORE LABEL ID &amp; WAYBILL PREPARATION</t>
  </si>
  <si>
    <t>per Waybill</t>
  </si>
  <si>
    <t>Unloading</t>
  </si>
  <si>
    <t>Sorting</t>
  </si>
  <si>
    <t>Per Store/Waybill</t>
  </si>
  <si>
    <t>Per Amount</t>
  </si>
  <si>
    <t>Dispatching</t>
  </si>
  <si>
    <t>Per Truck</t>
  </si>
  <si>
    <t>Per Waybill/Store</t>
  </si>
  <si>
    <t>Work Environment</t>
  </si>
  <si>
    <t>Allowances</t>
  </si>
  <si>
    <t>Minutes</t>
  </si>
  <si>
    <t>Temperature</t>
  </si>
  <si>
    <t>4.8</t>
  </si>
  <si>
    <t xml:space="preserve">Noise </t>
  </si>
  <si>
    <t>9.6</t>
  </si>
  <si>
    <t>Posture</t>
  </si>
  <si>
    <t>Total</t>
  </si>
  <si>
    <t>Note: Additional 5% on Put-Away Process for the Machine Allowance</t>
  </si>
  <si>
    <t>Manpower Requirement (AVERAGE)</t>
  </si>
  <si>
    <t>ACTIVITY</t>
  </si>
  <si>
    <t>MAIN UOM</t>
  </si>
  <si>
    <t>Average
Volume/Day</t>
  </si>
  <si>
    <t>Productivity Per Manhour</t>
  </si>
  <si>
    <t>Productivity Per Day</t>
  </si>
  <si>
    <t>Manpower Per Shift</t>
  </si>
  <si>
    <t>Required Manpower</t>
  </si>
  <si>
    <t>Inbound Checking</t>
  </si>
  <si>
    <t>Pcs</t>
  </si>
  <si>
    <t>Pallet</t>
  </si>
  <si>
    <t>Put-Away</t>
  </si>
  <si>
    <t>Picking (PMRL)</t>
  </si>
  <si>
    <t>Picklist</t>
  </si>
  <si>
    <t>Picking (SBU)</t>
  </si>
  <si>
    <t>Store</t>
  </si>
  <si>
    <t>Outbound Checking</t>
  </si>
  <si>
    <t>For Improvements:</t>
  </si>
  <si>
    <t>5s</t>
  </si>
  <si>
    <t>Workers Ergonomics</t>
  </si>
  <si>
    <t>Handling</t>
  </si>
  <si>
    <t>Stacking of Items</t>
  </si>
  <si>
    <t>Additional MHE</t>
  </si>
  <si>
    <t xml:space="preserve"> </t>
  </si>
  <si>
    <t>Jack Wrap Utilization</t>
  </si>
  <si>
    <t>Roll Size</t>
  </si>
  <si>
    <t>300 m</t>
  </si>
  <si>
    <t>Pallet Size</t>
  </si>
  <si>
    <t>1.20 x 1 m</t>
  </si>
  <si>
    <t xml:space="preserve">Maximum Stack Height </t>
  </si>
  <si>
    <t>1.25 m</t>
  </si>
  <si>
    <t>Wrap Level</t>
  </si>
  <si>
    <t>Assuming that Jack Wrap Streches 150%</t>
  </si>
  <si>
    <t>300 m = 450 m</t>
  </si>
  <si>
    <t>Average Consumption per Pallet</t>
  </si>
  <si>
    <t>38.5m</t>
  </si>
  <si>
    <t>Pallet per Roll</t>
  </si>
  <si>
    <t>11 Pallets</t>
  </si>
  <si>
    <t>TIME AND MOTION STUDY SHEET</t>
  </si>
  <si>
    <t>Process being observed:</t>
  </si>
  <si>
    <t>Observer(s):</t>
  </si>
  <si>
    <t>DAY/TIME of observation:</t>
  </si>
  <si>
    <t>Name and Designation</t>
  </si>
  <si>
    <t>INBOUND UNLOADING</t>
  </si>
  <si>
    <t>Hans David Wenceslao</t>
  </si>
  <si>
    <t>Step No.</t>
  </si>
  <si>
    <t>Elements</t>
  </si>
  <si>
    <t>OBSERVED TIMES  (sec)</t>
  </si>
  <si>
    <t>Total Observed Time</t>
  </si>
  <si>
    <t>AVE</t>
  </si>
  <si>
    <t>MAX</t>
  </si>
  <si>
    <t>WEIGHT
PERCENTAGE</t>
  </si>
  <si>
    <t>Bottleneck</t>
  </si>
  <si>
    <t>Improvement</t>
  </si>
  <si>
    <t>T1</t>
  </si>
  <si>
    <t>T2</t>
  </si>
  <si>
    <t>T3</t>
  </si>
  <si>
    <t>T4</t>
  </si>
  <si>
    <t>T5</t>
  </si>
  <si>
    <t>T6</t>
  </si>
  <si>
    <t>T7</t>
  </si>
  <si>
    <t>T8</t>
  </si>
  <si>
    <t>T9</t>
  </si>
  <si>
    <t>T10</t>
  </si>
  <si>
    <t>(10 Trials)</t>
  </si>
  <si>
    <t>Checking</t>
  </si>
  <si>
    <t>TOTAL Observed time  (Sec)</t>
  </si>
  <si>
    <t>TOTAL Observed time  (Min)</t>
  </si>
  <si>
    <t>minutes</t>
  </si>
  <si>
    <t>Number of Pallet</t>
  </si>
  <si>
    <t>Number of Boxes/Pack</t>
  </si>
  <si>
    <t>Number of Items</t>
  </si>
  <si>
    <t>Number of Trucks</t>
  </si>
  <si>
    <t>Account &amp; Brand</t>
  </si>
  <si>
    <t>Contis</t>
  </si>
  <si>
    <t>Number of Employees</t>
  </si>
  <si>
    <t>Date &amp; Time</t>
  </si>
  <si>
    <t>Productivity per PALLET</t>
  </si>
  <si>
    <t xml:space="preserve"> PERFROMANCE RATING FACTOR %</t>
  </si>
  <si>
    <t>ave.OBSERVED TIME(sec)</t>
  </si>
  <si>
    <t>NORMAL TIME = observed * PRF (sec)</t>
  </si>
  <si>
    <t>STANDARD TIME =Normal Time *[1+ Allowance Factor(5%)]</t>
  </si>
  <si>
    <t>STANDARD PRODUCTIVITY PER MAN-HOUR</t>
  </si>
  <si>
    <t>Productivity per BOX/PACK</t>
  </si>
  <si>
    <t>Productivity per ITEM</t>
  </si>
  <si>
    <t>PUT-AWAY</t>
  </si>
  <si>
    <t>Transfer to Location</t>
  </si>
  <si>
    <t>5S</t>
  </si>
  <si>
    <t>Fill-Up Put-away Form</t>
  </si>
  <si>
    <t>Number of Pcs</t>
  </si>
  <si>
    <t>SKU</t>
  </si>
  <si>
    <t>PMRL</t>
  </si>
  <si>
    <t>CONTIS</t>
  </si>
  <si>
    <t>WENPHIL</t>
  </si>
  <si>
    <t>STANDARD TIME =Normal Time *[1+ Allowance Factor(5%)+Machine Allowance (5%)]</t>
  </si>
  <si>
    <t>Productivity per PCS</t>
  </si>
  <si>
    <t>PICKING</t>
  </si>
  <si>
    <t>Finding Pallet</t>
  </si>
  <si>
    <t>Picking</t>
  </si>
  <si>
    <t>Transport to Staging</t>
  </si>
  <si>
    <t>Number of Picklist</t>
  </si>
  <si>
    <t>Productivity per PICKLIST</t>
  </si>
  <si>
    <t>Number of Store</t>
  </si>
  <si>
    <t>SBU</t>
  </si>
  <si>
    <t>Productivity per STORE</t>
  </si>
  <si>
    <t>OUTBOUND</t>
  </si>
  <si>
    <t>Check in Staging Area then Transport to Docking Area</t>
  </si>
  <si>
    <t>MASUMA</t>
  </si>
  <si>
    <t>Quality Checking (Manual Checking) - HJ</t>
  </si>
  <si>
    <t>Hans David Wenceslao &amp; Nichole Jean Necio</t>
  </si>
  <si>
    <t>TRIAL 1</t>
  </si>
  <si>
    <t>TRIAL 2</t>
  </si>
  <si>
    <t>TRIAL 3</t>
  </si>
  <si>
    <t>TRIAL 4</t>
  </si>
  <si>
    <t>TRIAL 5</t>
  </si>
  <si>
    <t>TRIAL 6</t>
  </si>
  <si>
    <t>TRIAL 7</t>
  </si>
  <si>
    <t>TRIAL 8</t>
  </si>
  <si>
    <t>TRIAL 9</t>
  </si>
  <si>
    <t>TRIAL 10</t>
  </si>
  <si>
    <t>(10trial)</t>
  </si>
  <si>
    <t>Checking Items According to the Picklist
   -(PO,Name of Customers,SKU of item,Quantity,Sign the Picklist)
   -Transfer Basket to Q.C 3</t>
  </si>
  <si>
    <t>Overloaded area causes worker to stop and rearrange baskets</t>
  </si>
  <si>
    <t>Automated Q.C. like in Hatio can lessen the process of checking orders, it also decreases workers need for the QC and we can assigned them to other 
process like in packing or picking</t>
  </si>
  <si>
    <t>Order reference number</t>
  </si>
  <si>
    <t>PO-6538827051611201</t>
  </si>
  <si>
    <t>Number of Item(s)</t>
  </si>
  <si>
    <t>Number of Order</t>
  </si>
  <si>
    <t>High Jump | NIVEA</t>
  </si>
  <si>
    <t>Employee Name</t>
  </si>
  <si>
    <t>Christine Claire Alvarez</t>
  </si>
  <si>
    <t>Kirsten Ann Delaisla</t>
  </si>
  <si>
    <t>JC</t>
  </si>
  <si>
    <t>Jashtine Marie Pabillar</t>
  </si>
  <si>
    <t>Casimira Cubilla</t>
  </si>
  <si>
    <t>Note/Cause of delay</t>
  </si>
  <si>
    <t>*Double Checking Items</t>
  </si>
  <si>
    <t>*Change Item</t>
  </si>
  <si>
    <t>*Recheck Items</t>
  </si>
  <si>
    <t>*Recheck Items
*Adjust Bins</t>
  </si>
  <si>
    <t>05/23/23 | 1035H</t>
  </si>
  <si>
    <t>05/23/23 | 1036H</t>
  </si>
  <si>
    <t>05/25/23 | 1056H</t>
  </si>
  <si>
    <t>05/25/23 | 1057H</t>
  </si>
  <si>
    <t>05/25/23 | 1120H</t>
  </si>
  <si>
    <t>05/29/23 | 1117H</t>
  </si>
  <si>
    <t>05/29/23 | 1118H</t>
  </si>
  <si>
    <t>05/29/23 | 1602H</t>
  </si>
  <si>
    <t>05/29/23 |  1603</t>
  </si>
  <si>
    <t>05/29/23 | 1605</t>
  </si>
  <si>
    <t>PRODUCTIVITY PER ORDER/WAYBILL</t>
  </si>
  <si>
    <t>PRODUCTIVITY PER ITEM</t>
  </si>
  <si>
    <t>Quality Checking (Scanning - Packer assignment) - HJ</t>
  </si>
  <si>
    <t>Nichole Necio</t>
  </si>
  <si>
    <t xml:space="preserve">   -Scan Baskets
   -Insert Q.C. 2 Name
   -Insert Packer Name</t>
  </si>
  <si>
    <t>When the bin have many Q'Cs 2 makes the Q'Cs 3 
stops scanning to generate the bin Q'Cs 2 and go 
back to scan the rest</t>
  </si>
  <si>
    <t>Packer must get bin that has the same Q'Cs 2 
workers</t>
  </si>
  <si>
    <t>Number of ORDER/Basket(s)</t>
  </si>
  <si>
    <t>Packaging Type and Size (Box/Pouch)</t>
  </si>
  <si>
    <t>Medium</t>
  </si>
  <si>
    <t>Small</t>
  </si>
  <si>
    <t>*Generate different Q'C 's</t>
  </si>
  <si>
    <t xml:space="preserve">*Fixing Unstable Bin 
*Generate different Q'Cs </t>
  </si>
  <si>
    <t>05/30/23 | 1406H</t>
  </si>
  <si>
    <t>05/30/23 | 1408H</t>
  </si>
  <si>
    <t>05/30/23 | 1410H</t>
  </si>
  <si>
    <t>05/30/23 | 1629H</t>
  </si>
  <si>
    <t>05/30/23 | 1636H</t>
  </si>
  <si>
    <t xml:space="preserve">05/30/23 | 1440H </t>
  </si>
  <si>
    <t>05/31/23 | 1310H</t>
  </si>
  <si>
    <t>05/31/23 | 1338H</t>
  </si>
  <si>
    <t>06/01/23 | 1318H</t>
  </si>
  <si>
    <t>PRODUCTIVITY PER ORDER</t>
  </si>
  <si>
    <t>Employee Name and Designation</t>
  </si>
  <si>
    <t>Quality Checking - HAT</t>
  </si>
  <si>
    <t>PERCENTAGE</t>
  </si>
  <si>
    <t>Check and Scan
-Scan R.O. Number / Bin
-Scan Product Individually</t>
  </si>
  <si>
    <t>Slow Scanning the Checkers are good but the system that they used is very slow and it take approximately 3 seconds to scan just 1 item.It has a huge effect especially when there a huge amount of orders.</t>
  </si>
  <si>
    <t xml:space="preserve">Transporting Baskets to Q.C. should be cleaned and neat to avoid confusions
Updating or solving the problem on the system scanning could improve the operations.  </t>
  </si>
  <si>
    <t>Print of Waybill and Transfer to Mobile Rack</t>
  </si>
  <si>
    <t>Order Referrence Number</t>
  </si>
  <si>
    <t>230516TOSJ9WXN</t>
  </si>
  <si>
    <t>230516UE341CTB</t>
  </si>
  <si>
    <t>RO-202352313634736</t>
  </si>
  <si>
    <t>Hatio | Mondelez</t>
  </si>
  <si>
    <t>Hatio | Pilmico</t>
  </si>
  <si>
    <t>JC Jayne Cruz</t>
  </si>
  <si>
    <t>Tochie Cagula</t>
  </si>
  <si>
    <t xml:space="preserve">Jashtine Marie Pabillar </t>
  </si>
  <si>
    <t>Ann Jello Ventura</t>
  </si>
  <si>
    <t>Note/Cause of Delays</t>
  </si>
  <si>
    <t>*Slow System Scanning</t>
  </si>
  <si>
    <t>*Slow System Scanning
*Slow Internet</t>
  </si>
  <si>
    <t>*Incorrect Product
*Slow System Scanning</t>
  </si>
  <si>
    <t>*Slow System Scanning
*Laptop Keyboard has Defect</t>
  </si>
  <si>
    <t>*Medium Sized Item
*Slow System Scanning
*Laptop Keyboard has Defect</t>
  </si>
  <si>
    <t>*3 Medium Sized 
Item</t>
  </si>
  <si>
    <t>*1 Sack or Large 
Sized Item</t>
  </si>
  <si>
    <t>05/17/23 | 0850H - 0854H</t>
  </si>
  <si>
    <t>5/17/23/ | 0958H - 0959H</t>
  </si>
  <si>
    <t>05/22/23 | 0942H</t>
  </si>
  <si>
    <t>05/22/23 | 1127H</t>
  </si>
  <si>
    <t>05/22/23 | 0947H - 0949H</t>
  </si>
  <si>
    <t>05/23/23 | 0932H - 0933H</t>
  </si>
  <si>
    <t>05/23/23 | 0935H</t>
  </si>
  <si>
    <t>05/24/23 | 1016H - 1017H</t>
  </si>
  <si>
    <t>05/24/23 | 1300H</t>
  </si>
  <si>
    <t>05/24/23 | 1305H</t>
  </si>
  <si>
    <t>Quality Secret Lab - HAT</t>
  </si>
  <si>
    <t>Checking if informations are the same in Waybill and Picklist</t>
  </si>
  <si>
    <t>230528UDYM4MSY</t>
  </si>
  <si>
    <t>230606KUP3TT9K
230606KTNGEWV1
230606KTYMS11X
230606KUXMJ8FS
230606K69MSY3F
230606KY1FWFB3</t>
  </si>
  <si>
    <t>230606KWQ6MDN
65979275164687
6597211783827021
659772538652576
65971398160756
659810709948213
659728373093898
659794360923423
659792502915008
655535095529333
655686275841722
655606013574719
655568291035035
655567490572123</t>
  </si>
  <si>
    <t>230606MWKBUATK
230606MYJT79RR
230606N22USY2C
230606MCH14MR4
230606M3HUFCVH
230606M5K40X21
230606MWM2PT10
230606LTKWX4U3
230606KWF46QP5</t>
  </si>
  <si>
    <t>Hatio | SLB</t>
  </si>
  <si>
    <t>Claire
Lyca
Joan</t>
  </si>
  <si>
    <t>Claire
Lyca
Joan
Rachele</t>
  </si>
  <si>
    <t>Lyca
Joan 
Tochie</t>
  </si>
  <si>
    <t>May 16, 2023 / WED / 9:06 AM - 9:16 AM</t>
  </si>
  <si>
    <t>Picking items on Shelves
    -Accepting Order
    -Scan Basket
    -Find Location
    -Scan Carton Q.R.
    -Scan Product per Quantity</t>
  </si>
  <si>
    <t>Some of the Scanning Devices used doesn't 
automatically receive the SKU in the system, 
there are some steps they need to do 
before re-scanning again.</t>
  </si>
  <si>
    <t>Transportation of the basket on Q.C. Station</t>
  </si>
  <si>
    <t>RO-202305169555218</t>
  </si>
  <si>
    <t>RO-202351617537401</t>
  </si>
  <si>
    <t>RO-202352171929937</t>
  </si>
  <si>
    <t>RO-20235220181797</t>
  </si>
  <si>
    <t>RO2023525142633520</t>
  </si>
  <si>
    <t>RO-202352882332934</t>
  </si>
  <si>
    <t>RO-20235289233490</t>
  </si>
  <si>
    <t>RO-202352892013501</t>
  </si>
  <si>
    <t>RO-2023528812826174</t>
  </si>
  <si>
    <t>RO-202352813937559</t>
  </si>
  <si>
    <t>Edwin Tabora</t>
  </si>
  <si>
    <t>James Carlo
Ranola</t>
  </si>
  <si>
    <t>RJ Anthony 
Villanueva</t>
  </si>
  <si>
    <t>Erwin Tandaan</t>
  </si>
  <si>
    <t>*Slow Device
*Problem with 
the Device</t>
  </si>
  <si>
    <t>*Slow Device</t>
  </si>
  <si>
    <t>*Internet Problem</t>
  </si>
  <si>
    <t>* Slow Device 
*Bin Unreadable</t>
  </si>
  <si>
    <t xml:space="preserve">* Slow Device </t>
  </si>
  <si>
    <t>*Internet Problem 
*Slow Device</t>
  </si>
  <si>
    <t>*Having Problems Finding Locations
*61 Small Items 6 Different Locations</t>
  </si>
  <si>
    <t xml:space="preserve">allowance </t>
  </si>
  <si>
    <t>manhour</t>
  </si>
  <si>
    <t>1hr = 3600sec</t>
  </si>
  <si>
    <t xml:space="preserve">Picking </t>
  </si>
  <si>
    <t xml:space="preserve">May 26, 2023 / 10 AM onwards | </t>
  </si>
  <si>
    <t>Picking items on Shelves
    -Accepting Order
    -Scan Basket
    -Find Location
    -Getting the Item by Reachlift
    -Scan Carton Q.R.
    -Scan Product per Quantity</t>
  </si>
  <si>
    <t>*RO-202352513286379
*RO-2023525141850285
*RO-2023525142835543
*RO-2023525142847445
*RO-2023525142939430
*RO-2023525144734728
*RO-202352515920621</t>
  </si>
  <si>
    <t>*RO-202352615752380
*RO-20235262533568
*RO-20235262343816
*RO-202352623526370
*RO-202352624927292
*RO-202352625049133
*RO-20235263541850</t>
  </si>
  <si>
    <t>*RO-20235263541850
*RO-202352632650381
*RO-202352642235541</t>
  </si>
  <si>
    <t>*RO-2023528103246571
*RO-2023528105643752
*RO-202352812549520
*RO-202352812944902
*RO-2023528135048576
*RO-2023528142018937
*RO-2023528154216282</t>
  </si>
  <si>
    <t>*RO-202352982329752
*RO-20235299641390
*RO-2023529115332345
*RO-2023529115350101
*RO-202352912158415
*RO-202352912840829
*RO-20235291228419
*RO-2023529133450640</t>
  </si>
  <si>
    <t>*RO-20235302627535
*RO-202353003526252
*RO-202353004748629
*RO-20235301391756</t>
  </si>
  <si>
    <t>*RO-202353014153622
*RO-202353015530113
*RO-20235303059526
*RO-20235304320229
*RO-202353033337169
*RO-202353043211577</t>
  </si>
  <si>
    <t>*RO-20235305816265
*RO-20235305137770
*RO-20235305477133
*RO-202353061348989
*RO-20235307228409
*RO-20235307228781
*RO-202353073446612
*RO-2353013927241</t>
  </si>
  <si>
    <t xml:space="preserve">*RO-202361122118
*RO-20236114110881
*RO-20236115521289
*RO-20236115818713
*RO-2023614235570
*RO-2023614235570
*RO-2023614578647       </t>
  </si>
  <si>
    <t>*RO-202365171848384
*RO-202365171857110
*RO-202365171924346
*RO-20236517217657
*RO-202365172137340
*RO-20236517225925
*RO-2023651723067</t>
  </si>
  <si>
    <t>MIXED</t>
  </si>
  <si>
    <t>Number of Order(s) per Cart</t>
  </si>
  <si>
    <t>Jay Mark, Pasiona</t>
  </si>
  <si>
    <t>*Reachlift would put items down for the picker to pick easier.
*QC far from Picking Locations.</t>
  </si>
  <si>
    <t>*Reach Lift do put items down and put it back again before getting the next item.
*QC far from Picking Locations.</t>
  </si>
  <si>
    <t>*Reach Lift do put items down and put it back again before getting the next item.
*Items Moved to other Location due to weather, it confuses the picker and the Reach Lift Operator.
*QC far from Picking Locations.</t>
  </si>
  <si>
    <t xml:space="preserve">*Reachlift puts items down first for faster picking
*Walking back to Cart 
*Finding Basket
</t>
  </si>
  <si>
    <t>*Finding the Location
*Problem with the Device</t>
  </si>
  <si>
    <t>*Waiting Time for Forklift</t>
  </si>
  <si>
    <t>Picking items on Shelves
    -Accepting Order
    -Scan Basket
    -Find Location
    -Getting the Item by Reachlift
    -Double Check the Item
    -If Parts: Scan Carton Q.R.
    -If Chairs: Copy the SKU</t>
  </si>
  <si>
    <t>*RO-202352971017545</t>
  </si>
  <si>
    <t>*RO-202352912198144
*RO-2023529124813916</t>
  </si>
  <si>
    <t>*RO-20235300388319
*RO-2023529194910177</t>
  </si>
  <si>
    <t>*RO-2023529124813916
*RO-202352912198144</t>
  </si>
  <si>
    <t>*RO-202353111737266
*RO-202353124947850
*RO-202353135154136
*RO-20235315236936
*RO-202353152114486
*RO-20235315320934</t>
  </si>
  <si>
    <t xml:space="preserve">*RO-20235317512210
*RO-202353175240171
*RO-20235318366771
*RO-2023531142248655
*RO-2023531154237447
*RO-202353120234515
</t>
  </si>
  <si>
    <t>*RO-202365161156311
*RO-20236516129721
*RO-202365161334659</t>
  </si>
  <si>
    <t>*RO-202365161515533
*RO-20236516177571
*RO-202365162720986
*RO-20236565162824494</t>
  </si>
  <si>
    <t>Large Items</t>
  </si>
  <si>
    <t>1 Small, 1 Regular</t>
  </si>
  <si>
    <t>2 Regular</t>
  </si>
  <si>
    <t>3 Regular Sized Chair</t>
  </si>
  <si>
    <t>1 Small 1 Regular (Chairs)</t>
  </si>
  <si>
    <t>2 Regular (Chairs)</t>
  </si>
  <si>
    <t>2 Regular, 1 Xl (CHAIRS) 
5 Small to Medium (PARTS)</t>
  </si>
  <si>
    <t>1 Xl, 2 Regular
(CHAIRS)
4 Parts</t>
  </si>
  <si>
    <t>1 XL, 1 Small, 1 Regular &amp; Wipes</t>
  </si>
  <si>
    <t>3 Regular, 1 XL</t>
  </si>
  <si>
    <t>Number of Orders / Pallet</t>
  </si>
  <si>
    <t>Jolo</t>
  </si>
  <si>
    <t>*Finding Item
*Waiting Time for Reachlift</t>
  </si>
  <si>
    <t>*Finding Item</t>
  </si>
  <si>
    <t>*Finding the item</t>
  </si>
  <si>
    <t>*Finding Location</t>
  </si>
  <si>
    <t>*New to System
*Finding Location
*Order pumasok pero on Hold Item
*Device is Slow</t>
  </si>
  <si>
    <t>*Transpo Delay because of boxes scattered on the walk area</t>
  </si>
  <si>
    <t>*Finding the right location</t>
  </si>
  <si>
    <t>Quality Checking</t>
  </si>
  <si>
    <t>Picking items on Shelves
   -Scan Baskets
   -Insert Q.C. 2 Name
   -Insert Picker Name</t>
  </si>
  <si>
    <t>Number of Basket(s)</t>
  </si>
  <si>
    <t>*Different Q'C 's</t>
  </si>
  <si>
    <t>*Fixing Unstable Boxes</t>
  </si>
  <si>
    <t>PRODUCTIVITY PER BASKET</t>
  </si>
  <si>
    <t>May 16, 2023 / WED / 8:45 AM - 8:48 AM | May 25, 2023</t>
  </si>
  <si>
    <t>QUANTITY PER WAYBILL/STORE</t>
  </si>
  <si>
    <t>*Slow System on Scanning</t>
  </si>
  <si>
    <t>*Incorrect Product</t>
  </si>
  <si>
    <t>3 Medium Sized 
Item</t>
  </si>
  <si>
    <t>1 Sack or Large 
Sized Item</t>
  </si>
  <si>
    <t>PRODUCTIVITY PER WAYBILL</t>
  </si>
  <si>
    <t>Checking
-Scanning if the Waybill has the same ID's on the Picklist</t>
  </si>
  <si>
    <t>QUANTITY PER COURIER</t>
  </si>
  <si>
    <t>*230606KUP3TT9K
*230606KTNGEWV1
*230606KTYMS11X
*230606KUXMJ8FS
*230605K69MSY3F
*230606KY1FWFB3</t>
  </si>
  <si>
    <t>*230606KWQ6MDN
*65979275164687
*6597211783827021
*659772538652576
*659713598160756
*659810709948213
*659728373093898
*659794360923423
*659792502915008
*655535095529333
*655686275841722
*655606013574719
*655568291035035
*655567490572123</t>
  </si>
  <si>
    <t>*230606MWKBUATK
*230606MYJT79RR
*230606N22USY2C
*230606MCH14MR4
*230606M3HUFCVH
*230606M5K40X21
*230606MWM2PT10
*230606KTKWX4U3
*230606KWF46QP5</t>
  </si>
  <si>
    <t>HATIO | SLB</t>
  </si>
  <si>
    <t>Claire Jane Bongalos
Rachele Rosal
Lyca Parba
Joan</t>
  </si>
  <si>
    <t xml:space="preserve">Lyca
Joan
Tochi
</t>
  </si>
  <si>
    <t>*Looking for Available Q.C.</t>
  </si>
  <si>
    <t>PRODUCTIVITY PER COURIER</t>
  </si>
  <si>
    <t>Xza</t>
  </si>
  <si>
    <t>Packing</t>
  </si>
  <si>
    <t>Nichole Necio &amp; Hans David Wenceslao</t>
  </si>
  <si>
    <t>RO- 656705175292896</t>
  </si>
  <si>
    <t>RO-659752371796984</t>
  </si>
  <si>
    <t>RO- 659780125594449</t>
  </si>
  <si>
    <t>Large</t>
  </si>
  <si>
    <t>High Jump/ Nivea</t>
  </si>
  <si>
    <t>Anthony JR. Brillantes</t>
  </si>
  <si>
    <t>Kimberly Mendoza</t>
  </si>
  <si>
    <t>Richel Jimenez</t>
  </si>
  <si>
    <t>Jeselina Abainsa</t>
  </si>
  <si>
    <t>Katya Daniela B. Nolasco</t>
  </si>
  <si>
    <t>Refill Tape / Arrange Box</t>
  </si>
  <si>
    <t>Too Much Tape / 
Arrange the top with a box / No tape dispenser</t>
  </si>
  <si>
    <t>Finding Box / 
Disaassemble box / 
Fixing Box</t>
  </si>
  <si>
    <t>On call
No Tape Dispenser</t>
  </si>
  <si>
    <t>On Call
No tape dispenser</t>
  </si>
  <si>
    <t>Pick Basket on the Pallete 
-Scan Basket 
- Pack Item 
- Set Aside</t>
  </si>
  <si>
    <t xml:space="preserve">Packaging Type </t>
  </si>
  <si>
    <t>RO-65644918551940</t>
  </si>
  <si>
    <t>RO-652497208834391</t>
  </si>
  <si>
    <t>RO-652576679275976</t>
  </si>
  <si>
    <t>RO-653112066062957</t>
  </si>
  <si>
    <t>Number Of Orders</t>
  </si>
  <si>
    <t>Romeo Quindo</t>
  </si>
  <si>
    <t>Radny</t>
  </si>
  <si>
    <t>Fatima Baluyot</t>
  </si>
  <si>
    <t>Gets Bubble Wrap/Double Box</t>
  </si>
  <si>
    <t>Jammed Tape</t>
  </si>
  <si>
    <t>Wrong Item/ Recount Item/
Unuseable Bubble Wrap</t>
  </si>
  <si>
    <t>Uwrap Item/ 
Gets Bubble Wrap</t>
  </si>
  <si>
    <t>Securing Items w/ Box &amp; Tape
No Tape Dispenser</t>
  </si>
  <si>
    <t xml:space="preserve">Getting the Picklist to the Processor </t>
  </si>
  <si>
    <t>Double Check if the Item is Same on the Picklist</t>
  </si>
  <si>
    <t>Printing of Waybill</t>
  </si>
  <si>
    <t xml:space="preserve">Packaging </t>
  </si>
  <si>
    <t>May 16, 2023 / WED / 10:15 AM - 11:06 AM</t>
  </si>
  <si>
    <t>Packaging Process 
If Chairs:
-Wrap w/ Jack Wrap
-Putting Pieces of Carton per Side
-Wrapping it Up Again
-Putting Waybill</t>
  </si>
  <si>
    <t>230606KTYMS11X</t>
  </si>
  <si>
    <t>2306D5K69MSY3F</t>
  </si>
  <si>
    <t>Size</t>
  </si>
  <si>
    <t xml:space="preserve">jerome </t>
  </si>
  <si>
    <t>Abadanio, Darren P
Estrera, Juan Arthur T.</t>
  </si>
  <si>
    <t>*Making Support 
for the Box</t>
  </si>
  <si>
    <t>*Cutting Box 
for Support</t>
  </si>
  <si>
    <t>*Lack of Personels
*10 Mins Delay for Helping Others</t>
  </si>
  <si>
    <t>New Workers</t>
  </si>
  <si>
    <t>Picking Basket from Mobile Rack</t>
  </si>
  <si>
    <t>Box Assembly</t>
  </si>
  <si>
    <t>Packaging Process
-Wrap w/ Jack Wrap
-Wrap w/ Bubble Wrap
-Placing Items inside the Box
-Sealing the Box 
-Wrap the Box w/ Jack Wrap
-Put Waybill</t>
  </si>
  <si>
    <t>Transfer or Set aside Packed Items for Dispatch</t>
  </si>
  <si>
    <t>230516UDHYTC7D</t>
  </si>
  <si>
    <t>230516UEE9P2VW</t>
  </si>
  <si>
    <t>230516TW9U8H55</t>
  </si>
  <si>
    <t>230523DTVH0HSV</t>
  </si>
  <si>
    <t>Small Box</t>
  </si>
  <si>
    <t>Medium Box</t>
  </si>
  <si>
    <t xml:space="preserve">James Carlo 
Ranola </t>
  </si>
  <si>
    <t>Kenneth Senido</t>
  </si>
  <si>
    <t>Ken Patrick
Bardonia</t>
  </si>
  <si>
    <t>Zeus
Manalo</t>
  </si>
  <si>
    <t>James Carlo 
Ranola</t>
  </si>
  <si>
    <t>Jerome Quilala</t>
  </si>
  <si>
    <t>Anel Gundaya</t>
  </si>
  <si>
    <t>Junel Adorna</t>
  </si>
  <si>
    <t>Unfamiliar w/ 
Equipment Placement</t>
  </si>
  <si>
    <t>Need to use 
2 boxes</t>
  </si>
  <si>
    <t>*Packing Process 
Changes</t>
  </si>
  <si>
    <t xml:space="preserve">*Baskets are in stack, ready 
on the Packing
 stations
</t>
  </si>
  <si>
    <t>*Baskets already 
on the Packing
 stations
*Box already made</t>
  </si>
  <si>
    <t>230523DTRTQQ39</t>
  </si>
  <si>
    <t>2305303H2N8YQM</t>
  </si>
  <si>
    <t>2305303C706DH7</t>
  </si>
  <si>
    <t>230528U4XMN8P7</t>
  </si>
  <si>
    <t>23053035TSNU7F</t>
  </si>
  <si>
    <t>23053039VWE9SS</t>
  </si>
  <si>
    <t>Small 500</t>
  </si>
  <si>
    <t>Large 20 Kilos</t>
  </si>
  <si>
    <t>Large 7 Kilos</t>
  </si>
  <si>
    <t>Estacio Albert</t>
  </si>
  <si>
    <t>*No Box ASSEMBLY 
*Bubble Wrap Only</t>
  </si>
  <si>
    <t>*Inutusan
*Changing of Tapes
*Assembling 2 Box Together</t>
  </si>
  <si>
    <t>*No Box Assembly</t>
  </si>
  <si>
    <t>*Tape Refill</t>
  </si>
  <si>
    <t>*Lack of Box</t>
  </si>
  <si>
    <t>*Uses Box (Box Assembly)
* Different type of Packing</t>
  </si>
  <si>
    <t>*Refill Jackwrap 
*Not Enough Box to Wrap 
*Transfer to Staging Area</t>
  </si>
  <si>
    <t>*Different Type of Packing
*Refill of Tape
*Transfer to Staging Area</t>
  </si>
  <si>
    <t>CANCEL</t>
  </si>
  <si>
    <t>Returns</t>
  </si>
  <si>
    <t>Create Return Order
-Insert Order ID then Create Return Order
-Copy Release Order then Go to Return and Upload a Photo of the Actual Returned Product</t>
  </si>
  <si>
    <t>Receiving Order
-Click Order Receive then Click Arrived, then Assign a Warehouse</t>
  </si>
  <si>
    <t>Unloading Order
-Type the Actual Quantity and Check SKU to Check the Expiration Date
-Check SKU to Check the Expiration Date</t>
  </si>
  <si>
    <t>Putaway
-Go to Putaway
-Click Customer Return
-Check Loaction and Carton ID
-Putting Back Actual Items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</si>
</sst>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00_);_(* \(#,##0.00\);_(* &quot;-&quot;??_);_(@_)"/>
    <numFmt numFmtId="165" formatCode="_(* #,##0_);_(* \(#,##0\);_(* &quot;-&quot;??_);_(@_)"/>
    <numFmt numFmtId="166" formatCode="_-* #,##0_-;\-* #,##0_-;_-* &quot;-&quot;??_-;_-@"/>
    <numFmt numFmtId="167" formatCode="_-* #,##0.0_-;\-* #,##0.0_-;_-* &quot;-&quot;?_-;_-@"/>
    <numFmt numFmtId="168" formatCode="_-* #,##0_-;\-* #,##0_-;_-* &quot;-&quot;?_-;_-@"/>
    <numFmt numFmtId="169" formatCode="_-[$₱-3409]* #,##0.00_-;\-[$₱-3409]* #,##0.00_-;_-[$₱-3409]* &quot;-&quot;??_-;_-@"/>
    <numFmt numFmtId="170" formatCode="_(* #,##0.00_);_(* \(#,##0.00\);_(* &quot;-&quot;??.00_);_(@_)"/>
    <numFmt numFmtId="171" formatCode="_(* #,##0.000_);_(* \(#,##0.000\);_(* &quot;-&quot;??.000_);_(@_)"/>
    <numFmt numFmtId="172" formatCode="[$-3409]dd\-mmm\-yy"/>
    <numFmt numFmtId="173" formatCode="m/d/yy"/>
  </numFmts>
  <fonts count="53">
    <font>
      <sz val="11.0"/>
      <color theme="1"/>
      <name val="Calibri"/>
      <scheme val="minor"/>
    </font>
    <font>
      <sz val="11.0"/>
      <color theme="1"/>
      <name val="Calibri"/>
    </font>
    <font>
      <sz val="9.0"/>
      <color theme="1"/>
      <name val="Calibri"/>
    </font>
    <font>
      <b/>
      <sz val="14.0"/>
      <color rgb="FF002060"/>
      <name val="Calibri"/>
    </font>
    <font>
      <b/>
      <sz val="10.0"/>
      <color theme="1"/>
      <name val="Calibri"/>
    </font>
    <font>
      <sz val="10.0"/>
      <color theme="1"/>
      <name val="Calibri"/>
    </font>
    <font>
      <b/>
      <sz val="11.0"/>
      <color theme="1"/>
      <name val="Calibri"/>
    </font>
    <font>
      <sz val="14.0"/>
      <color theme="1"/>
      <name val="Calibri"/>
    </font>
    <font>
      <sz val="12.0"/>
      <color theme="1"/>
      <name val="Calibri"/>
    </font>
    <font>
      <sz val="14.0"/>
      <color rgb="FF000000"/>
      <name val="Calibri"/>
    </font>
    <font/>
    <font>
      <b/>
      <sz val="12.0"/>
      <color theme="1"/>
      <name val="Calibri"/>
    </font>
    <font>
      <sz val="14.0"/>
      <color rgb="FFFF0000"/>
      <name val="Calibri"/>
    </font>
    <font>
      <b/>
      <color theme="1"/>
      <name val="Calibri"/>
    </font>
    <font>
      <color theme="1"/>
      <name val="Calibri"/>
    </font>
    <font>
      <b/>
      <sz val="18.0"/>
      <color rgb="FF002060"/>
      <name val="Calibri"/>
    </font>
    <font>
      <u/>
      <sz val="11.0"/>
      <color theme="10"/>
      <name val="Calibri"/>
    </font>
    <font>
      <sz val="10.0"/>
      <color theme="1"/>
      <name val="Arial Narrow"/>
    </font>
    <font>
      <b/>
      <sz val="10.0"/>
      <color theme="1"/>
      <name val="Arial Narrow"/>
    </font>
    <font>
      <sz val="12.0"/>
      <color theme="1"/>
      <name val="Arial Narrow"/>
    </font>
    <font>
      <b/>
      <sz val="12.0"/>
      <color theme="1"/>
      <name val="Arial Narrow"/>
    </font>
    <font>
      <b/>
      <sz val="11.0"/>
      <color rgb="FF000000"/>
      <name val="Calibri"/>
    </font>
    <font>
      <sz val="18.0"/>
      <color theme="1"/>
      <name val="Calibri"/>
    </font>
    <font>
      <sz val="11.0"/>
      <color theme="1"/>
      <name val="Arial Narrow"/>
    </font>
    <font>
      <b/>
      <sz val="11.0"/>
      <color rgb="FF000000"/>
      <name val="Arial Narrow"/>
    </font>
    <font>
      <b/>
      <sz val="11.0"/>
      <color rgb="FFFFFFFF"/>
      <name val="Arial Narrow"/>
    </font>
    <font>
      <b/>
      <sz val="10.0"/>
      <color rgb="FFFFFFFF"/>
      <name val="Arial"/>
    </font>
    <font>
      <b/>
      <sz val="8.0"/>
      <color theme="1"/>
      <name val="Arial"/>
    </font>
    <font>
      <sz val="8.0"/>
      <color theme="1"/>
      <name val="Arial"/>
    </font>
    <font>
      <i/>
      <sz val="8.0"/>
      <color theme="1"/>
      <name val="Arial"/>
    </font>
    <font>
      <color rgb="FFFFFFFF"/>
      <name val="Arial Narrow"/>
    </font>
    <font>
      <color theme="1"/>
      <name val="Arial Narrow"/>
    </font>
    <font>
      <sz val="9.0"/>
      <color theme="1"/>
      <name val="Arial"/>
    </font>
    <font>
      <b/>
      <sz val="14.0"/>
      <color rgb="FF002060"/>
      <name val="Arial Narrow"/>
    </font>
    <font>
      <b/>
      <sz val="11.0"/>
      <color theme="1"/>
      <name val="Arial Narrow"/>
    </font>
    <font>
      <b/>
      <sz val="12.0"/>
      <color rgb="FFFFFFFF"/>
      <name val="Arial Narrow"/>
    </font>
    <font>
      <b/>
      <sz val="20.0"/>
      <color rgb="FFFFFFFF"/>
      <name val="Arial Narrow"/>
    </font>
    <font>
      <b/>
      <color rgb="FFFFFFFF"/>
      <name val="Arial Narrow"/>
    </font>
    <font>
      <sz val="11.0"/>
      <color rgb="FFFFFFFF"/>
      <name val="Arial Narrow"/>
    </font>
    <font>
      <i/>
      <sz val="11.0"/>
      <color theme="1"/>
      <name val="Arial Narrow"/>
    </font>
    <font>
      <b/>
      <color rgb="FF002060"/>
      <name val="Arial Narrow"/>
    </font>
    <font>
      <b/>
      <i/>
      <sz val="11.0"/>
      <color rgb="FFFFFFFF"/>
      <name val="Arial Narrow"/>
    </font>
    <font>
      <b/>
      <i/>
      <sz val="11.0"/>
      <color rgb="FF0070C0"/>
      <name val="Arial Narrow"/>
    </font>
    <font>
      <b/>
      <sz val="11.0"/>
      <color rgb="FF002060"/>
      <name val="Arial Narrow"/>
    </font>
    <font>
      <sz val="14.0"/>
      <color theme="1"/>
      <name val="Arial Narrow"/>
    </font>
    <font>
      <b/>
      <sz val="20.0"/>
      <color theme="1"/>
      <name val="Arial Narrow"/>
    </font>
    <font>
      <sz val="11.0"/>
      <color rgb="FFFF0000"/>
      <name val="Arial Narrow"/>
    </font>
    <font>
      <b/>
      <sz val="10.0"/>
      <color rgb="FF002060"/>
      <name val="Arial Narrow"/>
    </font>
    <font>
      <sz val="11.0"/>
      <color rgb="FF000000"/>
      <name val="Arial Narrow"/>
    </font>
    <font>
      <b/>
      <i/>
      <sz val="11.0"/>
      <color theme="9"/>
      <name val="Arial Narrow"/>
    </font>
    <font>
      <sz val="11.0"/>
      <color theme="9"/>
      <name val="Arial Narrow"/>
    </font>
    <font>
      <b/>
      <sz val="11.0"/>
      <color rgb="FF0070C0"/>
      <name val="Arial Narrow"/>
    </font>
    <font>
      <sz val="11.0"/>
      <color rgb="FF92D050"/>
      <name val="Arial Narrow"/>
    </font>
  </fonts>
  <fills count="24">
    <fill>
      <patternFill patternType="none"/>
    </fill>
    <fill>
      <patternFill patternType="lightGray"/>
    </fill>
    <fill>
      <patternFill patternType="solid">
        <fgColor rgb="FF9BC2E6"/>
        <bgColor rgb="FF9BC2E6"/>
      </patternFill>
    </fill>
    <fill>
      <patternFill patternType="solid">
        <fgColor rgb="FFFFF2CC"/>
        <bgColor rgb="FFFFF2CC"/>
      </patternFill>
    </fill>
    <fill>
      <patternFill patternType="solid">
        <fgColor rgb="FF99CCFF"/>
        <bgColor rgb="FF99CCFF"/>
      </patternFill>
    </fill>
    <fill>
      <patternFill patternType="solid">
        <fgColor rgb="FFA8D08D"/>
        <bgColor rgb="FFA8D08D"/>
      </patternFill>
    </fill>
    <fill>
      <patternFill patternType="solid">
        <fgColor rgb="FFFFFFFF"/>
        <bgColor rgb="FFFFFFFF"/>
      </patternFill>
    </fill>
    <fill>
      <patternFill patternType="solid">
        <fgColor rgb="FFF3F3F3"/>
        <bgColor rgb="FFF3F3F3"/>
      </patternFill>
    </fill>
    <fill>
      <patternFill patternType="solid">
        <fgColor theme="8"/>
        <bgColor theme="8"/>
      </patternFill>
    </fill>
    <fill>
      <patternFill patternType="solid">
        <fgColor rgb="FFEFEFEF"/>
        <bgColor rgb="FFEFEFEF"/>
      </patternFill>
    </fill>
    <fill>
      <patternFill patternType="solid">
        <fgColor rgb="FF000000"/>
        <bgColor rgb="FF000000"/>
      </patternFill>
    </fill>
    <fill>
      <patternFill patternType="solid">
        <fgColor rgb="FFDADADA"/>
        <bgColor rgb="FFDADADA"/>
      </patternFill>
    </fill>
    <fill>
      <patternFill patternType="solid">
        <fgColor rgb="FF9CC2E5"/>
        <bgColor rgb="FF9CC2E5"/>
      </patternFill>
    </fill>
    <fill>
      <patternFill patternType="solid">
        <fgColor rgb="FFC5E0B3"/>
        <bgColor rgb="FFC5E0B3"/>
      </patternFill>
    </fill>
    <fill>
      <patternFill patternType="solid">
        <fgColor rgb="FFFFE598"/>
        <bgColor rgb="FFFFE598"/>
      </patternFill>
    </fill>
    <fill>
      <patternFill patternType="solid">
        <fgColor rgb="FFF7CAAC"/>
        <bgColor rgb="FFF7CAAC"/>
      </patternFill>
    </fill>
    <fill>
      <patternFill patternType="solid">
        <fgColor rgb="FFD8D8D8"/>
        <bgColor rgb="FFD8D8D8"/>
      </patternFill>
    </fill>
    <fill>
      <patternFill patternType="solid">
        <fgColor rgb="FFFFC000"/>
        <bgColor rgb="FFFFC000"/>
      </patternFill>
    </fill>
    <fill>
      <patternFill patternType="solid">
        <fgColor rgb="FF4472C4"/>
        <bgColor rgb="FF4472C4"/>
      </patternFill>
    </fill>
    <fill>
      <patternFill patternType="solid">
        <fgColor theme="7"/>
        <bgColor theme="7"/>
      </patternFill>
    </fill>
    <fill>
      <patternFill patternType="solid">
        <fgColor rgb="FFFEF2CB"/>
        <bgColor rgb="FFFEF2CB"/>
      </patternFill>
    </fill>
    <fill>
      <patternFill patternType="solid">
        <fgColor rgb="FFBDD6EE"/>
        <bgColor rgb="FFBDD6EE"/>
      </patternFill>
    </fill>
    <fill>
      <patternFill patternType="solid">
        <fgColor theme="0"/>
        <bgColor theme="0"/>
      </patternFill>
    </fill>
    <fill>
      <patternFill patternType="solid">
        <fgColor rgb="FFFFFFCC"/>
        <bgColor rgb="FFFFFFCC"/>
      </patternFill>
    </fill>
  </fills>
  <borders count="121">
    <border/>
    <border>
      <left style="thin">
        <color rgb="FF0070C0"/>
      </left>
      <right style="thin">
        <color rgb="FF0070C0"/>
      </right>
      <top style="thin">
        <color rgb="FF0070C0"/>
      </top>
      <bottom style="thin">
        <color rgb="FF0070C0"/>
      </bottom>
    </border>
    <border>
      <right style="thin">
        <color rgb="FF0070C0"/>
      </right>
      <top style="thin">
        <color rgb="FF0070C0"/>
      </top>
      <bottom style="thin">
        <color rgb="FF0070C0"/>
      </bottom>
    </border>
    <border>
      <left style="thin">
        <color rgb="FF0070C0"/>
      </left>
      <right style="thin">
        <color rgb="FF0070C0"/>
      </right>
      <top style="thin">
        <color rgb="FF0070C0"/>
      </top>
    </border>
    <border>
      <left style="thin">
        <color rgb="FF0070C0"/>
      </left>
      <top style="thin">
        <color rgb="FF0070C0"/>
      </top>
      <bottom style="thin">
        <color rgb="FF0070C0"/>
      </bottom>
    </border>
    <border>
      <left style="thin">
        <color rgb="FF3C78D8"/>
      </left>
      <right style="thin">
        <color rgb="FF3C78D8"/>
      </right>
      <top style="thin">
        <color rgb="FF3C78D8"/>
      </top>
      <bottom style="thin">
        <color rgb="FF3C78D8"/>
      </bottom>
    </border>
    <border>
      <left style="thin">
        <color rgb="FF0070C0"/>
      </left>
      <right style="thin">
        <color rgb="FF0070C0"/>
      </right>
      <bottom style="thin">
        <color rgb="FF0070C0"/>
      </bottom>
    </border>
    <border>
      <bottom style="thin">
        <color rgb="FF0070C0"/>
      </bottom>
    </border>
    <border>
      <right style="thin">
        <color rgb="FF0070C0"/>
      </right>
    </border>
    <border>
      <right style="thin">
        <color rgb="FF0070C0"/>
      </right>
      <bottom style="thin">
        <color rgb="FF0070C0"/>
      </bottom>
    </border>
    <border>
      <right style="thin">
        <color rgb="FF3C78D8"/>
      </right>
      <bottom style="thin">
        <color rgb="FF3C78D8"/>
      </bottom>
    </border>
    <border>
      <left style="thin">
        <color rgb="FF2E75B5"/>
      </left>
      <right style="thin">
        <color rgb="FF2E75B5"/>
      </right>
      <top style="thin">
        <color rgb="FF2E75B5"/>
      </top>
      <bottom style="thin">
        <color rgb="FF2E75B5"/>
      </bottom>
    </border>
    <border>
      <right style="thin">
        <color rgb="FF3C78D8"/>
      </right>
      <top style="thin">
        <color rgb="FF3C78D8"/>
      </top>
      <bottom style="thin">
        <color rgb="FF3C78D8"/>
      </bottom>
    </border>
    <border>
      <left style="thin">
        <color rgb="FF2E75B5"/>
      </left>
      <right style="thin">
        <color rgb="FF2E75B5"/>
      </right>
      <top style="thin">
        <color rgb="FF2E75B5"/>
      </top>
    </border>
    <border>
      <right style="thin">
        <color rgb="FF0070C0"/>
      </right>
      <top style="thin">
        <color rgb="FF0070C0"/>
      </top>
    </border>
    <border>
      <left style="thin">
        <color rgb="FF2E75B5"/>
      </left>
      <top style="thin">
        <color rgb="FF2E75B5"/>
      </top>
      <bottom style="thin">
        <color rgb="FF2E75B5"/>
      </bottom>
    </border>
    <border>
      <left style="thin">
        <color rgb="FF0070C0"/>
      </left>
      <bottom style="thin">
        <color rgb="FF0070C0"/>
      </bottom>
    </border>
    <border>
      <left style="thin">
        <color rgb="FF2E75B5"/>
      </left>
      <right style="thin">
        <color rgb="FF2E75B5"/>
      </right>
      <bottom style="thin">
        <color rgb="FF2E75B5"/>
      </bottom>
    </border>
    <border>
      <left style="thin">
        <color rgb="FF3C78D8"/>
      </left>
      <right style="thin">
        <color rgb="FF3C78D8"/>
      </right>
      <bottom style="thin">
        <color rgb="FF3C78D8"/>
      </bottom>
    </border>
    <border>
      <right style="thin">
        <color rgb="FF3C78D8"/>
      </right>
    </border>
    <border>
      <left style="thin">
        <color rgb="FF0070C0"/>
      </left>
      <right style="thin">
        <color rgb="FF0070C0"/>
      </right>
    </border>
    <border>
      <left style="thin">
        <color rgb="FF0070C0"/>
      </left>
      <right style="thin">
        <color rgb="FF5B9BD5"/>
      </right>
      <top style="thin">
        <color rgb="FF0070C0"/>
      </top>
      <bottom style="thin">
        <color rgb="FF0070C0"/>
      </bottom>
    </border>
    <border>
      <right style="thin">
        <color rgb="FF3C78D8"/>
      </right>
      <bottom style="thin">
        <color rgb="FF0070C0"/>
      </bottom>
    </border>
    <border>
      <right style="thin">
        <color rgb="FF0070C0"/>
      </right>
      <top style="thin">
        <color rgb="FF0070C0"/>
      </top>
      <bottom style="thin">
        <color rgb="FF3C78D8"/>
      </bottom>
    </border>
    <border>
      <left style="thin">
        <color rgb="FF0070C0"/>
      </left>
      <right style="thin">
        <color rgb="FF3C78D8"/>
      </right>
      <top style="thin">
        <color rgb="FF0070C0"/>
      </top>
      <bottom style="thin">
        <color rgb="FF3C78D8"/>
      </bottom>
    </border>
    <border>
      <left style="medium">
        <color rgb="FF0070C0"/>
      </left>
      <right style="thin">
        <color rgb="FF0070C0"/>
      </right>
      <top style="medium">
        <color rgb="FF0070C0"/>
      </top>
      <bottom style="thin">
        <color rgb="FF0070C0"/>
      </bottom>
    </border>
    <border>
      <left style="thin">
        <color rgb="FF0070C0"/>
      </left>
      <right style="thin">
        <color rgb="FF0070C0"/>
      </right>
      <top style="medium">
        <color rgb="FF0070C0"/>
      </top>
      <bottom style="thin">
        <color rgb="FF0070C0"/>
      </bottom>
    </border>
    <border>
      <left style="thin">
        <color rgb="FF0070C0"/>
      </left>
      <right style="medium">
        <color rgb="FF0070C0"/>
      </right>
      <top style="medium">
        <color rgb="FF0070C0"/>
      </top>
      <bottom style="thin">
        <color rgb="FF0070C0"/>
      </bottom>
    </border>
    <border>
      <left style="medium">
        <color rgb="FF0070C0"/>
      </left>
      <right style="thin">
        <color rgb="FF0070C0"/>
      </right>
      <top style="thin">
        <color rgb="FF0070C0"/>
      </top>
      <bottom style="thin">
        <color rgb="FF0070C0"/>
      </bottom>
    </border>
    <border>
      <left style="thin">
        <color rgb="FF0070C0"/>
      </left>
      <right style="medium">
        <color rgb="FF0070C0"/>
      </right>
      <top style="thin">
        <color rgb="FF0070C0"/>
      </top>
      <bottom style="thin">
        <color rgb="FF0070C0"/>
      </bottom>
    </border>
    <border>
      <left style="medium">
        <color rgb="FF0070C0"/>
      </left>
      <right style="thin">
        <color rgb="FF0070C0"/>
      </right>
      <top style="thin">
        <color rgb="FF0070C0"/>
      </top>
      <bottom style="medium">
        <color rgb="FF0070C0"/>
      </bottom>
    </border>
    <border>
      <left style="thin">
        <color rgb="FF0070C0"/>
      </left>
      <right style="thin">
        <color rgb="FF0070C0"/>
      </right>
      <top style="thin">
        <color rgb="FF0070C0"/>
      </top>
      <bottom style="medium">
        <color rgb="FF0070C0"/>
      </bottom>
    </border>
    <border>
      <left style="thin">
        <color rgb="FF0070C0"/>
      </left>
      <right style="medium">
        <color rgb="FF0070C0"/>
      </right>
      <top style="thin">
        <color rgb="FF0070C0"/>
      </top>
      <bottom style="medium">
        <color rgb="FF0070C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style="thin">
        <color rgb="FF000000"/>
      </bottom>
    </border>
    <border>
      <top/>
      <bottom style="thin">
        <color rgb="FF000000"/>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right style="medium">
        <color rgb="FF000000"/>
      </right>
      <bottom style="medium">
        <color rgb="FF000000"/>
      </bottom>
    </border>
    <border>
      <bottom style="thin">
        <color rgb="FF000000"/>
      </bottom>
    </border>
    <border>
      <right style="thin">
        <color rgb="FF000000"/>
      </right>
      <bottom style="thin">
        <color rgb="FF000000"/>
      </bottom>
    </border>
    <border>
      <left/>
      <right/>
      <top/>
      <bottom/>
    </border>
    <border>
      <left style="medium">
        <color rgb="FF0070C0"/>
      </left>
      <top style="medium">
        <color rgb="FF0070C0"/>
      </top>
      <bottom style="thin">
        <color rgb="FF0070C0"/>
      </bottom>
    </border>
    <border>
      <top style="medium">
        <color rgb="FF0070C0"/>
      </top>
      <bottom style="thin">
        <color rgb="FF0070C0"/>
      </bottom>
    </border>
    <border>
      <right style="thin">
        <color rgb="FF0070C0"/>
      </right>
      <top style="medium">
        <color rgb="FF0070C0"/>
      </top>
      <bottom style="thin">
        <color rgb="FF0070C0"/>
      </bottom>
    </border>
    <border>
      <left style="thin">
        <color rgb="FF0070C0"/>
      </left>
      <top style="medium">
        <color rgb="FF0070C0"/>
      </top>
      <bottom style="thin">
        <color rgb="FF0070C0"/>
      </bottom>
    </border>
    <border>
      <right style="medium">
        <color rgb="FF0070C0"/>
      </right>
      <top style="medium">
        <color rgb="FF0070C0"/>
      </top>
      <bottom style="thin">
        <color rgb="FF0070C0"/>
      </bottom>
    </border>
    <border>
      <left style="medium">
        <color rgb="FF0070C0"/>
      </left>
      <top style="thin">
        <color rgb="FF0070C0"/>
      </top>
    </border>
    <border>
      <top style="thin">
        <color rgb="FF0070C0"/>
      </top>
    </border>
    <border>
      <left style="thin">
        <color rgb="FF0070C0"/>
      </left>
      <top style="thin">
        <color rgb="FF0070C0"/>
      </top>
    </border>
    <border>
      <right style="medium">
        <color rgb="FF0070C0"/>
      </right>
      <top style="thin">
        <color rgb="FF0070C0"/>
      </top>
    </border>
    <border>
      <left style="medium">
        <color rgb="FF0070C0"/>
      </left>
      <bottom style="medium">
        <color rgb="FF0070C0"/>
      </bottom>
    </border>
    <border>
      <bottom style="medium">
        <color rgb="FF0070C0"/>
      </bottom>
    </border>
    <border>
      <right style="thin">
        <color rgb="FF0070C0"/>
      </right>
      <bottom style="medium">
        <color rgb="FF0070C0"/>
      </bottom>
    </border>
    <border>
      <left style="thin">
        <color rgb="FF0070C0"/>
      </left>
      <bottom style="medium">
        <color rgb="FF0070C0"/>
      </bottom>
    </border>
    <border>
      <right style="medium">
        <color rgb="FF0070C0"/>
      </right>
      <bottom style="medium">
        <color rgb="FF0070C0"/>
      </bottom>
    </border>
    <border>
      <left style="medium">
        <color rgb="FF0070C0"/>
      </left>
      <right style="thin">
        <color rgb="FF0070C0"/>
      </right>
      <top style="medium">
        <color rgb="FF0070C0"/>
      </top>
    </border>
    <border>
      <left style="thin">
        <color rgb="FF0070C0"/>
      </left>
      <right style="thin">
        <color rgb="FF0070C0"/>
      </right>
      <top style="medium">
        <color rgb="FF0070C0"/>
      </top>
    </border>
    <border>
      <left style="thin">
        <color rgb="FF0070C0"/>
      </left>
      <right style="medium">
        <color rgb="FF2E75B5"/>
      </right>
      <top style="medium">
        <color rgb="FF0070C0"/>
      </top>
    </border>
    <border>
      <left style="medium">
        <color rgb="FF2E75B5"/>
      </left>
      <right style="medium">
        <color rgb="FF0070C0"/>
      </right>
      <top style="medium">
        <color rgb="FF2E75B5"/>
      </top>
    </border>
    <border>
      <left style="thin">
        <color rgb="FF0070C0"/>
      </left>
      <right style="medium">
        <color rgb="FF2E75B5"/>
      </right>
      <top style="medium">
        <color rgb="FF2E75B5"/>
      </top>
    </border>
    <border>
      <left style="medium">
        <color rgb="FF0070C0"/>
      </left>
      <right style="thin">
        <color rgb="FF0070C0"/>
      </right>
      <bottom style="thin">
        <color rgb="FF0070C0"/>
      </bottom>
    </border>
    <border>
      <left style="thin">
        <color rgb="FF0070C0"/>
      </left>
      <right style="medium">
        <color rgb="FF2E75B5"/>
      </right>
      <bottom style="thin">
        <color rgb="FF2E75B5"/>
      </bottom>
    </border>
    <border>
      <left style="medium">
        <color rgb="FF2E75B5"/>
      </left>
      <right style="medium">
        <color rgb="FF0070C0"/>
      </right>
      <bottom style="medium">
        <color rgb="FF2E75B5"/>
      </bottom>
    </border>
    <border>
      <left style="thin">
        <color rgb="FF0070C0"/>
      </left>
      <right style="medium">
        <color rgb="FF2E75B5"/>
      </right>
      <bottom style="medium">
        <color rgb="FF2E75B5"/>
      </bottom>
    </border>
    <border>
      <left style="medium">
        <color rgb="FF0070C0"/>
      </left>
      <right style="thin">
        <color rgb="FF0070C0"/>
      </right>
      <top style="medium">
        <color rgb="FF0070C0"/>
      </top>
      <bottom style="medium">
        <color rgb="FF0070C0"/>
      </bottom>
    </border>
    <border>
      <left style="thin">
        <color rgb="FF0070C0"/>
      </left>
      <top style="medium">
        <color rgb="FF0070C0"/>
      </top>
      <bottom style="medium">
        <color rgb="FF0070C0"/>
      </bottom>
    </border>
    <border>
      <left style="thin">
        <color rgb="FF2E75B5"/>
      </left>
      <right style="medium">
        <color rgb="FF0070C0"/>
      </right>
      <top style="medium">
        <color rgb="FF0070C0"/>
      </top>
      <bottom style="medium">
        <color rgb="FF0070C0"/>
      </bottom>
    </border>
    <border>
      <right style="medium">
        <color rgb="FF2E75B5"/>
      </right>
      <top style="medium">
        <color rgb="FF2E75B5"/>
      </top>
      <bottom style="medium">
        <color rgb="FF2E75B5"/>
      </bottom>
    </border>
    <border>
      <left style="medium">
        <color rgb="FF0070C0"/>
      </left>
      <right style="thin">
        <color rgb="FF0070C0"/>
      </right>
      <bottom style="medium">
        <color rgb="FF0070C0"/>
      </bottom>
    </border>
    <border>
      <left style="thin">
        <color rgb="FF0070C0"/>
      </left>
      <right style="thin">
        <color rgb="FF0070C0"/>
      </right>
      <bottom style="medium">
        <color rgb="FF0070C0"/>
      </bottom>
    </border>
    <border>
      <left style="thin">
        <color rgb="FF0070C0"/>
      </left>
      <right style="medium">
        <color rgb="FF0070C0"/>
      </right>
      <bottom style="medium">
        <color rgb="FF0070C0"/>
      </bottom>
    </border>
    <border>
      <left style="thin">
        <color rgb="FF0070C0"/>
      </left>
      <right style="medium">
        <color rgb="FF0070C0"/>
      </right>
      <top style="medium">
        <color rgb="FF0070C0"/>
      </top>
    </border>
    <border>
      <left style="thin">
        <color rgb="FF0070C0"/>
      </left>
      <right style="medium">
        <color rgb="FF0070C0"/>
      </right>
      <bottom style="thin">
        <color rgb="FF0070C0"/>
      </bottom>
    </border>
    <border>
      <right style="medium">
        <color rgb="FF2E75B5"/>
      </right>
      <top style="medium">
        <color rgb="FF2E75B5"/>
      </top>
      <bottom style="thin">
        <color rgb="FF0070C0"/>
      </bottom>
    </border>
    <border>
      <left style="medium">
        <color rgb="FF2E75B5"/>
      </left>
      <right style="medium">
        <color rgb="FF2E75B5"/>
      </right>
      <top style="medium">
        <color rgb="FF2E75B5"/>
      </top>
      <bottom style="thin">
        <color rgb="FF0070C0"/>
      </bottom>
    </border>
    <border>
      <right style="medium">
        <color rgb="FF2E75B5"/>
      </right>
      <top style="thin">
        <color rgb="FF0070C0"/>
      </top>
      <bottom style="medium">
        <color rgb="FF2E75B5"/>
      </bottom>
    </border>
    <border>
      <left style="medium">
        <color rgb="FF2E75B5"/>
      </left>
      <right style="medium">
        <color rgb="FF2E75B5"/>
      </right>
      <top style="thin">
        <color rgb="FF0070C0"/>
      </top>
      <bottom style="medium">
        <color rgb="FF2E75B5"/>
      </bottom>
    </border>
    <border>
      <left style="thin">
        <color rgb="FF0070C0"/>
      </left>
      <right style="thin">
        <color rgb="FF0070C0"/>
      </right>
      <top style="thin">
        <color rgb="FF0070C0"/>
      </top>
      <bottom style="thin">
        <color rgb="FF2E75B5"/>
      </bottom>
    </border>
    <border>
      <top style="thin">
        <color rgb="FF2E75B5"/>
      </top>
    </border>
    <border>
      <left style="thin">
        <color rgb="FF2E75B5"/>
      </left>
      <right style="medium">
        <color rgb="FF2E75B5"/>
      </right>
    </border>
    <border>
      <left style="medium">
        <color rgb="FF2E75B5"/>
      </left>
      <right style="medium">
        <color rgb="FF2E75B5"/>
      </right>
      <top style="medium">
        <color rgb="FF2E75B5"/>
      </top>
      <bottom style="medium">
        <color rgb="FF2E75B5"/>
      </bottom>
    </border>
    <border>
      <left style="thin">
        <color rgb="FF2E75B5"/>
      </left>
      <right style="medium">
        <color rgb="FF2E75B5"/>
      </right>
      <top style="thin">
        <color rgb="FF2E75B5"/>
      </top>
      <bottom style="thin">
        <color rgb="FF2E75B5"/>
      </bottom>
    </border>
    <border>
      <left style="thin">
        <color rgb="FF0070C0"/>
      </left>
      <top style="medium">
        <color rgb="FF0070C0"/>
      </top>
    </border>
    <border>
      <left style="thin">
        <color rgb="FF2E75B5"/>
      </left>
      <right style="medium">
        <color rgb="FF2E75B5"/>
      </right>
      <top style="medium">
        <color rgb="FF2E75B5"/>
      </top>
      <bottom style="thin">
        <color rgb="FF0070C0"/>
      </bottom>
    </border>
    <border>
      <left style="medium">
        <color rgb="FF2E75B5"/>
      </left>
      <top style="medium">
        <color rgb="FF2E75B5"/>
      </top>
      <bottom style="medium">
        <color rgb="FF2E75B5"/>
      </bottom>
    </border>
    <border>
      <left style="thin">
        <color rgb="FF2E75B5"/>
      </left>
      <right style="medium">
        <color rgb="FF2E75B5"/>
      </right>
      <top style="medium">
        <color rgb="FF2E75B5"/>
      </top>
      <bottom style="medium">
        <color rgb="FF2E75B5"/>
      </bottom>
    </border>
    <border>
      <left style="medium">
        <color rgb="FF2E75B5"/>
      </left>
      <right style="medium">
        <color rgb="FF2E75B5"/>
      </right>
      <top style="thin">
        <color rgb="FF0070C0"/>
      </top>
      <bottom style="thin">
        <color rgb="FF2E75B5"/>
      </bottom>
    </border>
    <border>
      <right style="thin">
        <color rgb="FF9CC2E5"/>
      </right>
      <bottom style="thin">
        <color rgb="FF9CC2E5"/>
      </bottom>
    </border>
    <border>
      <left style="thin">
        <color rgb="FF0070C0"/>
      </left>
      <right style="thin">
        <color rgb="FF0070C0"/>
      </right>
      <top/>
      <bottom style="thin">
        <color rgb="FF0070C0"/>
      </bottom>
    </border>
    <border>
      <left style="medium">
        <color rgb="FF0070C0"/>
      </left>
      <right style="thin">
        <color rgb="FF0070C0"/>
      </right>
      <top style="thin">
        <color rgb="FF0070C0"/>
      </top>
    </border>
    <border>
      <left style="thin">
        <color rgb="FF0070C0"/>
      </left>
      <right style="medium">
        <color rgb="FF0070C0"/>
      </right>
      <top style="thin">
        <color rgb="FF0070C0"/>
      </top>
    </border>
    <border>
      <left style="medium">
        <color theme="4"/>
      </left>
      <right style="thin">
        <color rgb="FF0070C0"/>
      </right>
      <top style="medium">
        <color theme="4"/>
      </top>
    </border>
    <border>
      <left style="thin">
        <color rgb="FF0070C0"/>
      </left>
      <right style="thin">
        <color rgb="FF0070C0"/>
      </right>
      <top style="medium">
        <color theme="4"/>
      </top>
    </border>
    <border>
      <left style="thin">
        <color rgb="FF0070C0"/>
      </left>
      <right style="medium">
        <color theme="4"/>
      </right>
      <top style="medium">
        <color theme="4"/>
      </top>
    </border>
    <border>
      <left style="medium">
        <color theme="4"/>
      </left>
      <right style="thin">
        <color rgb="FF0070C0"/>
      </right>
      <bottom style="thin">
        <color rgb="FF0070C0"/>
      </bottom>
    </border>
    <border>
      <left style="thin">
        <color rgb="FF0070C0"/>
      </left>
      <right style="medium">
        <color theme="4"/>
      </right>
      <bottom style="thin">
        <color rgb="FF0070C0"/>
      </bottom>
    </border>
    <border>
      <left style="medium">
        <color theme="4"/>
      </left>
      <right style="thin">
        <color rgb="FF0070C0"/>
      </right>
      <top style="thin">
        <color rgb="FF0070C0"/>
      </top>
      <bottom style="thin">
        <color rgb="FF0070C0"/>
      </bottom>
    </border>
    <border>
      <left style="thin">
        <color rgb="FF0070C0"/>
      </left>
      <right style="medium">
        <color theme="4"/>
      </right>
      <top style="thin">
        <color rgb="FF0070C0"/>
      </top>
      <bottom style="thin">
        <color rgb="FF0070C0"/>
      </bottom>
    </border>
    <border>
      <left style="medium">
        <color theme="4"/>
      </left>
      <right style="thin">
        <color theme="4"/>
      </right>
      <top style="thin">
        <color theme="4"/>
      </top>
      <bottom style="medium">
        <color theme="4"/>
      </bottom>
    </border>
    <border>
      <right style="thin">
        <color rgb="FF2E75B5"/>
      </right>
      <top style="thin">
        <color rgb="FF2E75B5"/>
      </top>
      <bottom style="thin">
        <color rgb="FF2E75B5"/>
      </bottom>
    </border>
  </borders>
  <cellStyleXfs count="1">
    <xf borderId="0" fillId="0" fontId="0" numFmtId="0" applyAlignment="1" applyFont="1"/>
  </cellStyleXfs>
  <cellXfs count="66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horizontal="center" shrinkToFit="0" wrapText="1"/>
    </xf>
    <xf borderId="0" fillId="0" fontId="3" numFmtId="164" xfId="0" applyAlignment="1" applyFont="1" applyNumberFormat="1">
      <alignment horizontal="left" shrinkToFit="0" vertical="center" wrapText="1"/>
    </xf>
    <xf borderId="0" fillId="0" fontId="4" numFmtId="164" xfId="0" applyAlignment="1" applyFont="1" applyNumberFormat="1">
      <alignment shrinkToFit="0" vertical="center" wrapText="1"/>
    </xf>
    <xf borderId="0" fillId="0" fontId="5" numFmtId="0" xfId="0" applyAlignment="1" applyFont="1">
      <alignment shrinkToFit="0" wrapText="1"/>
    </xf>
    <xf borderId="1" fillId="2" fontId="6" numFmtId="164" xfId="0" applyAlignment="1" applyBorder="1" applyFill="1" applyFont="1" applyNumberFormat="1">
      <alignment shrinkToFit="0" vertical="center" wrapText="1"/>
    </xf>
    <xf borderId="2" fillId="2" fontId="6" numFmtId="0" xfId="0" applyAlignment="1" applyBorder="1" applyFont="1">
      <alignment horizontal="center" vertical="center"/>
    </xf>
    <xf borderId="1" fillId="2" fontId="6" numFmtId="164" xfId="0" applyAlignment="1" applyBorder="1" applyFont="1" applyNumberFormat="1">
      <alignment horizontal="center" shrinkToFit="0" vertical="center" wrapText="1"/>
    </xf>
    <xf borderId="1" fillId="2" fontId="6" numFmtId="9" xfId="0" applyAlignment="1" applyBorder="1" applyFont="1" applyNumberFormat="1">
      <alignment horizontal="center" shrinkToFit="0" vertical="center" wrapText="1"/>
    </xf>
    <xf borderId="3" fillId="2" fontId="6" numFmtId="9" xfId="0" applyAlignment="1" applyBorder="1" applyFont="1" applyNumberFormat="1">
      <alignment horizontal="center" shrinkToFit="0" vertical="center" wrapText="1"/>
    </xf>
    <xf borderId="0" fillId="0" fontId="1" numFmtId="0" xfId="0" applyAlignment="1" applyFont="1">
      <alignmen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8" numFmtId="165" xfId="0" applyAlignment="1" applyBorder="1" applyFont="1" applyNumberFormat="1">
      <alignment horizontal="center" shrinkToFit="0" vertical="center" wrapText="1"/>
    </xf>
    <xf borderId="4" fillId="0" fontId="8" numFmtId="4" xfId="0" applyAlignment="1" applyBorder="1" applyFont="1" applyNumberFormat="1">
      <alignment horizontal="center" shrinkToFit="0" vertical="center" wrapText="1"/>
    </xf>
    <xf borderId="4" fillId="3" fontId="8" numFmtId="9" xfId="0" applyAlignment="1" applyBorder="1" applyFill="1" applyFont="1" applyNumberFormat="1">
      <alignment horizontal="center" shrinkToFit="0" vertical="center" wrapText="1"/>
    </xf>
    <xf borderId="5" fillId="0" fontId="9" numFmtId="0" xfId="0" applyAlignment="1" applyBorder="1" applyFont="1">
      <alignment horizontal="center" shrinkToFit="0" vertical="center" wrapText="1"/>
    </xf>
    <xf borderId="4" fillId="0" fontId="4" numFmtId="0" xfId="0" applyAlignment="1" applyBorder="1" applyFont="1">
      <alignment horizontal="right" shrinkToFit="0" wrapText="1"/>
    </xf>
    <xf borderId="2" fillId="0" fontId="10" numFmtId="0" xfId="0" applyBorder="1" applyFont="1"/>
    <xf borderId="1" fillId="0" fontId="11" numFmtId="165" xfId="0" applyAlignment="1" applyBorder="1" applyFont="1" applyNumberFormat="1">
      <alignment horizontal="center" shrinkToFit="0" vertical="center" wrapText="1"/>
    </xf>
    <xf borderId="4" fillId="0" fontId="11" numFmtId="4" xfId="0" applyAlignment="1" applyBorder="1" applyFont="1" applyNumberFormat="1">
      <alignment horizontal="center" shrinkToFit="0" vertical="center" wrapText="1"/>
    </xf>
    <xf borderId="1" fillId="0" fontId="11" numFmtId="9" xfId="0" applyAlignment="1" applyBorder="1" applyFont="1" applyNumberFormat="1">
      <alignment horizontal="center" shrinkToFit="0" vertical="center" wrapText="1"/>
    </xf>
    <xf borderId="6" fillId="0" fontId="12" numFmtId="0" xfId="0" applyAlignment="1" applyBorder="1" applyFont="1">
      <alignment horizontal="center" shrinkToFit="0" vertical="center" wrapText="1"/>
    </xf>
    <xf borderId="0" fillId="0" fontId="1" numFmtId="1" xfId="0" applyAlignment="1" applyFont="1" applyNumberFormat="1">
      <alignment shrinkToFit="0" wrapText="1"/>
    </xf>
    <xf borderId="1" fillId="4" fontId="6" numFmtId="164" xfId="0" applyAlignment="1" applyBorder="1" applyFill="1" applyFont="1" applyNumberFormat="1">
      <alignment shrinkToFit="0" vertical="center" wrapText="1"/>
    </xf>
    <xf borderId="1" fillId="4" fontId="6" numFmtId="164" xfId="0" applyAlignment="1" applyBorder="1" applyFont="1" applyNumberFormat="1">
      <alignment horizontal="center" shrinkToFit="0" vertical="center" wrapText="1"/>
    </xf>
    <xf borderId="1" fillId="4" fontId="6" numFmtId="9" xfId="0" applyAlignment="1" applyBorder="1" applyFont="1" applyNumberFormat="1">
      <alignment horizontal="center" shrinkToFit="0" vertical="center" wrapText="1"/>
    </xf>
    <xf borderId="3" fillId="4" fontId="6" numFmtId="9" xfId="0" applyAlignment="1" applyBorder="1" applyFont="1" applyNumberFormat="1">
      <alignment horizontal="center" shrinkToFit="0" vertical="center" wrapText="1"/>
    </xf>
    <xf borderId="4" fillId="5" fontId="8" numFmtId="10" xfId="0" applyAlignment="1" applyBorder="1" applyFill="1" applyFont="1" applyNumberFormat="1">
      <alignment horizontal="center" shrinkToFit="0" vertical="center" wrapText="1"/>
    </xf>
    <xf borderId="5" fillId="0" fontId="12"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1" fillId="3" fontId="8" numFmtId="9" xfId="0" applyAlignment="1" applyBorder="1" applyFont="1" applyNumberFormat="1">
      <alignment horizontal="center" shrinkToFit="0" vertical="center" wrapText="1"/>
    </xf>
    <xf borderId="1" fillId="6" fontId="8" numFmtId="9" xfId="0" applyAlignment="1" applyBorder="1" applyFill="1" applyFont="1" applyNumberFormat="1">
      <alignment horizontal="center" shrinkToFit="0" vertical="center" wrapText="1"/>
    </xf>
    <xf borderId="0" fillId="0" fontId="1" numFmtId="0" xfId="0" applyAlignment="1" applyFont="1">
      <alignment vertical="bottom"/>
    </xf>
    <xf borderId="7" fillId="0" fontId="3" numFmtId="164" xfId="0" applyAlignment="1" applyBorder="1" applyFont="1" applyNumberFormat="1">
      <alignment shrinkToFit="0" wrapText="1"/>
    </xf>
    <xf borderId="7" fillId="0" fontId="10" numFmtId="0" xfId="0" applyBorder="1" applyFont="1"/>
    <xf borderId="7" fillId="0" fontId="1" numFmtId="164" xfId="0" applyAlignment="1" applyBorder="1" applyFont="1" applyNumberFormat="1">
      <alignment shrinkToFit="0" wrapText="1"/>
    </xf>
    <xf borderId="8" fillId="0" fontId="1" numFmtId="0" xfId="0" applyAlignment="1" applyBorder="1" applyFont="1">
      <alignment vertical="bottom"/>
    </xf>
    <xf borderId="3" fillId="2" fontId="6" numFmtId="164" xfId="0" applyAlignment="1" applyBorder="1" applyFont="1" applyNumberFormat="1">
      <alignment horizontal="center" shrinkToFit="0" vertical="center" wrapText="1"/>
    </xf>
    <xf borderId="9" fillId="0" fontId="7" numFmtId="165" xfId="0" applyAlignment="1" applyBorder="1" applyFont="1" applyNumberFormat="1">
      <alignment horizontal="center" shrinkToFit="0" vertical="center" wrapText="1"/>
    </xf>
    <xf borderId="9" fillId="0" fontId="7" numFmtId="164" xfId="0" applyAlignment="1" applyBorder="1" applyFont="1" applyNumberFormat="1">
      <alignment shrinkToFit="0" wrapText="1"/>
    </xf>
    <xf borderId="9" fillId="0" fontId="8" numFmtId="165" xfId="0" applyAlignment="1" applyBorder="1" applyFont="1" applyNumberFormat="1">
      <alignment horizontal="center" shrinkToFit="0" vertical="center" wrapText="1"/>
    </xf>
    <xf borderId="8" fillId="0" fontId="9" numFmtId="165" xfId="0" applyAlignment="1" applyBorder="1" applyFont="1" applyNumberFormat="1">
      <alignment horizontal="center" shrinkToFit="0" vertical="center" wrapText="1"/>
    </xf>
    <xf borderId="8" fillId="0" fontId="10" numFmtId="0" xfId="0" applyBorder="1" applyFont="1"/>
    <xf borderId="1" fillId="7" fontId="8" numFmtId="9" xfId="0" applyAlignment="1" applyBorder="1" applyFill="1" applyFont="1" applyNumberFormat="1">
      <alignment horizontal="center" shrinkToFit="0" vertical="center" wrapText="1"/>
    </xf>
    <xf borderId="9" fillId="0" fontId="10" numFmtId="0" xfId="0" applyBorder="1" applyFont="1"/>
    <xf borderId="7" fillId="0" fontId="13" numFmtId="164" xfId="0" applyAlignment="1" applyBorder="1" applyFont="1" applyNumberFormat="1">
      <alignment horizontal="right" shrinkToFit="0" vertical="bottom" wrapText="1"/>
    </xf>
    <xf borderId="9" fillId="0" fontId="11" numFmtId="165" xfId="0" applyAlignment="1" applyBorder="1" applyFont="1" applyNumberFormat="1">
      <alignment horizontal="center" shrinkToFit="0" vertical="center" wrapText="1"/>
    </xf>
    <xf borderId="10" fillId="0" fontId="1" numFmtId="164" xfId="0" applyAlignment="1" applyBorder="1" applyFont="1" applyNumberFormat="1">
      <alignment shrinkToFit="0" wrapText="1"/>
    </xf>
    <xf borderId="0" fillId="0" fontId="3" numFmtId="164" xfId="0" applyAlignment="1" applyFont="1" applyNumberFormat="1">
      <alignment horizontal="center" shrinkToFit="0" vertical="center" wrapText="1"/>
    </xf>
    <xf borderId="1" fillId="0" fontId="12" numFmtId="165" xfId="0" applyAlignment="1" applyBorder="1" applyFont="1" applyNumberFormat="1">
      <alignment horizontal="center" shrinkToFit="0" vertical="center" wrapText="1"/>
    </xf>
    <xf borderId="1" fillId="0" fontId="9" numFmtId="165" xfId="0" applyAlignment="1" applyBorder="1" applyFont="1" applyNumberFormat="1">
      <alignment horizontal="center" shrinkToFit="0" vertical="center" wrapText="1"/>
    </xf>
    <xf borderId="3" fillId="3" fontId="8" numFmtId="9"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11" fillId="0" fontId="11" numFmtId="9" xfId="0" applyAlignment="1" applyBorder="1" applyFont="1" applyNumberFormat="1">
      <alignment horizontal="center" shrinkToFit="0" vertical="center" wrapText="1"/>
    </xf>
    <xf borderId="12" fillId="0" fontId="12" numFmtId="0" xfId="0" applyAlignment="1" applyBorder="1" applyFont="1">
      <alignment horizontal="center" shrinkToFit="0" vertical="center" wrapText="1"/>
    </xf>
    <xf borderId="11" fillId="0" fontId="8" numFmtId="4" xfId="0" applyAlignment="1" applyBorder="1" applyFont="1" applyNumberFormat="1">
      <alignment horizontal="center" shrinkToFit="0" vertical="center" wrapText="1"/>
    </xf>
    <xf borderId="13" fillId="6" fontId="8" numFmtId="9" xfId="0" applyAlignment="1" applyBorder="1" applyFont="1" applyNumberFormat="1">
      <alignment horizontal="center" shrinkToFit="0" vertical="center" wrapText="1"/>
    </xf>
    <xf borderId="14" fillId="0" fontId="7" numFmtId="165" xfId="0" applyAlignment="1" applyBorder="1" applyFont="1" applyNumberFormat="1">
      <alignment horizontal="center" shrinkToFit="0" vertical="center" wrapText="1"/>
    </xf>
    <xf borderId="15" fillId="0" fontId="8" numFmtId="4" xfId="0" applyAlignment="1" applyBorder="1" applyFont="1" applyNumberFormat="1">
      <alignment horizontal="center" shrinkToFit="0" vertical="center" wrapText="1"/>
    </xf>
    <xf borderId="1" fillId="0" fontId="7" numFmtId="165" xfId="0" applyAlignment="1" applyBorder="1" applyFont="1" applyNumberFormat="1">
      <alignment horizontal="center" shrinkToFit="0" vertical="center" wrapText="1"/>
    </xf>
    <xf borderId="16" fillId="0" fontId="11" numFmtId="4" xfId="0" applyAlignment="1" applyBorder="1" applyFont="1" applyNumberFormat="1">
      <alignment horizontal="center" shrinkToFit="0" vertical="center" wrapText="1"/>
    </xf>
    <xf borderId="17" fillId="0" fontId="11" numFmtId="9" xfId="0" applyAlignment="1" applyBorder="1" applyFont="1" applyNumberFormat="1">
      <alignment horizontal="center" shrinkToFit="0" vertical="center" wrapText="1"/>
    </xf>
    <xf borderId="10" fillId="0" fontId="12" numFmtId="0" xfId="0" applyAlignment="1" applyBorder="1" applyFont="1">
      <alignment horizontal="center" shrinkToFit="0" vertical="center" wrapText="1"/>
    </xf>
    <xf borderId="18" fillId="0" fontId="12" numFmtId="0" xfId="0" applyAlignment="1" applyBorder="1" applyFont="1">
      <alignment horizontal="center" shrinkToFit="0" vertical="center" wrapText="1"/>
    </xf>
    <xf borderId="9" fillId="0" fontId="7" numFmtId="0" xfId="0" applyAlignment="1" applyBorder="1" applyFont="1">
      <alignment horizontal="left" shrinkToFit="0" vertical="center" wrapText="1"/>
    </xf>
    <xf borderId="10" fillId="0" fontId="9" numFmtId="0" xfId="0" applyAlignment="1" applyBorder="1" applyFont="1">
      <alignment shrinkToFit="0" vertical="center" wrapText="1"/>
    </xf>
    <xf borderId="16" fillId="0" fontId="13" numFmtId="0" xfId="0" applyAlignment="1" applyBorder="1" applyFont="1">
      <alignment horizontal="right" shrinkToFit="0" vertical="bottom" wrapText="1"/>
    </xf>
    <xf borderId="9" fillId="0" fontId="11" numFmtId="165" xfId="0" applyAlignment="1" applyBorder="1" applyFont="1" applyNumberFormat="1">
      <alignment horizontal="center" shrinkToFit="0" wrapText="1"/>
    </xf>
    <xf borderId="1" fillId="0" fontId="11" numFmtId="9" xfId="0" applyAlignment="1" applyBorder="1" applyFont="1" applyNumberFormat="1">
      <alignment horizontal="center" shrinkToFit="0" wrapText="1"/>
    </xf>
    <xf borderId="10" fillId="0" fontId="1" numFmtId="0" xfId="0" applyAlignment="1" applyBorder="1" applyFont="1">
      <alignment shrinkToFit="0" wrapText="1"/>
    </xf>
    <xf borderId="0" fillId="0" fontId="3" numFmtId="164" xfId="0" applyAlignment="1" applyFont="1" applyNumberFormat="1">
      <alignment shrinkToFit="0" wrapText="1"/>
    </xf>
    <xf borderId="0" fillId="0" fontId="1" numFmtId="164" xfId="0" applyAlignment="1" applyFont="1" applyNumberFormat="1">
      <alignment shrinkToFit="0" wrapText="1"/>
    </xf>
    <xf borderId="9" fillId="0" fontId="7" numFmtId="0" xfId="0" applyAlignment="1" applyBorder="1" applyFont="1">
      <alignment shrinkToFit="0" wrapText="1"/>
    </xf>
    <xf borderId="1" fillId="0" fontId="8" numFmtId="4" xfId="0" applyAlignment="1" applyBorder="1" applyFont="1" applyNumberFormat="1">
      <alignment horizontal="center" shrinkToFit="0" vertical="center" wrapText="1"/>
    </xf>
    <xf borderId="1" fillId="3" fontId="8" numFmtId="9" xfId="0" applyAlignment="1" applyBorder="1" applyFont="1" applyNumberFormat="1">
      <alignment horizontal="center" shrinkToFit="0" wrapText="1"/>
    </xf>
    <xf borderId="9" fillId="0" fontId="7" numFmtId="9" xfId="0" applyAlignment="1" applyBorder="1" applyFont="1" applyNumberFormat="1">
      <alignment horizontal="center" shrinkToFit="0" wrapText="1"/>
    </xf>
    <xf borderId="9" fillId="0" fontId="7" numFmtId="9" xfId="0" applyAlignment="1" applyBorder="1" applyFont="1" applyNumberFormat="1">
      <alignment horizontal="center" shrinkToFit="0" vertical="center" wrapText="1"/>
    </xf>
    <xf borderId="6" fillId="0" fontId="7" numFmtId="0" xfId="0" applyAlignment="1" applyBorder="1" applyFont="1">
      <alignment horizontal="center" shrinkToFit="0" wrapText="1"/>
    </xf>
    <xf borderId="9" fillId="6" fontId="8" numFmtId="9" xfId="0" applyAlignment="1" applyBorder="1" applyFont="1" applyNumberFormat="1">
      <alignment horizontal="center" shrinkToFit="0" wrapText="1"/>
    </xf>
    <xf borderId="1" fillId="0" fontId="11" numFmtId="4" xfId="0" applyAlignment="1" applyBorder="1" applyFont="1" applyNumberFormat="1">
      <alignment horizontal="center" shrinkToFit="0" vertical="center" wrapText="1"/>
    </xf>
    <xf borderId="9" fillId="0" fontId="7" numFmtId="0" xfId="0" applyAlignment="1" applyBorder="1" applyFont="1">
      <alignment shrinkToFit="0" vertical="center" wrapText="1"/>
    </xf>
    <xf borderId="9" fillId="0" fontId="8" numFmtId="165" xfId="0" applyAlignment="1" applyBorder="1" applyFont="1" applyNumberFormat="1">
      <alignment horizontal="right" shrinkToFit="0" vertical="center" wrapText="1"/>
    </xf>
    <xf borderId="1" fillId="6" fontId="7" numFmtId="9" xfId="0" applyAlignment="1" applyBorder="1" applyFont="1" applyNumberFormat="1">
      <alignment shrinkToFit="0" wrapText="1"/>
    </xf>
    <xf borderId="1" fillId="0" fontId="7" numFmtId="0" xfId="0" applyAlignment="1" applyBorder="1" applyFont="1">
      <alignment shrinkToFit="0" wrapText="1"/>
    </xf>
    <xf borderId="1" fillId="3" fontId="7" numFmtId="9" xfId="0" applyAlignment="1" applyBorder="1" applyFont="1" applyNumberFormat="1">
      <alignment shrinkToFit="0" wrapText="1"/>
    </xf>
    <xf borderId="7" fillId="0" fontId="3" numFmtId="164" xfId="0" applyAlignment="1" applyBorder="1" applyFont="1" applyNumberFormat="1">
      <alignment shrinkToFit="0" vertical="bottom" wrapText="1"/>
    </xf>
    <xf borderId="7" fillId="0" fontId="1" numFmtId="164" xfId="0" applyAlignment="1" applyBorder="1" applyFont="1" applyNumberFormat="1">
      <alignment shrinkToFit="0" vertical="bottom" wrapText="1"/>
    </xf>
    <xf borderId="1" fillId="6" fontId="1" numFmtId="9" xfId="0" applyAlignment="1" applyBorder="1" applyFont="1" applyNumberFormat="1">
      <alignment horizontal="center" vertical="center"/>
    </xf>
    <xf borderId="1" fillId="6" fontId="7" numFmtId="9" xfId="0" applyAlignment="1" applyBorder="1" applyFont="1" applyNumberFormat="1">
      <alignment horizontal="left" shrinkToFit="0" vertical="center" wrapText="1"/>
    </xf>
    <xf borderId="1" fillId="6" fontId="7" numFmtId="9" xfId="0" applyAlignment="1" applyBorder="1" applyFont="1" applyNumberFormat="1">
      <alignment horizontal="center" vertical="center"/>
    </xf>
    <xf borderId="1" fillId="3" fontId="1" numFmtId="9" xfId="0" applyAlignment="1" applyBorder="1" applyFont="1" applyNumberFormat="1">
      <alignment horizontal="center" vertical="center"/>
    </xf>
    <xf borderId="16" fillId="0" fontId="6" numFmtId="0" xfId="0" applyAlignment="1" applyBorder="1" applyFont="1">
      <alignment horizontal="right" shrinkToFit="0" vertical="bottom" wrapText="1"/>
    </xf>
    <xf borderId="9" fillId="0" fontId="11" numFmtId="165" xfId="0" applyAlignment="1" applyBorder="1" applyFont="1" applyNumberFormat="1">
      <alignment horizontal="center" shrinkToFit="0" vertical="bottom" wrapText="1"/>
    </xf>
    <xf borderId="1" fillId="0" fontId="11" numFmtId="9" xfId="0" applyAlignment="1" applyBorder="1" applyFont="1" applyNumberFormat="1">
      <alignment horizontal="center" shrinkToFit="0" vertical="bottom" wrapText="1"/>
    </xf>
    <xf borderId="10" fillId="0" fontId="1" numFmtId="0" xfId="0" applyAlignment="1" applyBorder="1" applyFont="1">
      <alignment shrinkToFit="0" vertical="bottom" wrapText="1"/>
    </xf>
    <xf borderId="9" fillId="0" fontId="7" numFmtId="0" xfId="0" applyAlignment="1" applyBorder="1" applyFont="1">
      <alignment shrinkToFit="0" vertical="bottom" wrapText="1"/>
    </xf>
    <xf borderId="9" fillId="0" fontId="8" numFmtId="165" xfId="0" applyAlignment="1" applyBorder="1" applyFont="1" applyNumberFormat="1">
      <alignment vertical="center"/>
    </xf>
    <xf borderId="1" fillId="6" fontId="8" numFmtId="9" xfId="0" applyAlignment="1" applyBorder="1" applyFont="1" applyNumberFormat="1">
      <alignment horizontal="center" vertical="center"/>
    </xf>
    <xf borderId="10" fillId="0" fontId="7" numFmtId="0" xfId="0" applyAlignment="1" applyBorder="1" applyFont="1">
      <alignment shrinkToFit="0" vertical="center" wrapText="1"/>
    </xf>
    <xf borderId="1" fillId="3" fontId="8" numFmtId="9" xfId="0" applyAlignment="1" applyBorder="1" applyFont="1" applyNumberFormat="1">
      <alignment horizontal="center" vertical="center"/>
    </xf>
    <xf borderId="10" fillId="0" fontId="7" numFmtId="0" xfId="0" applyAlignment="1" applyBorder="1" applyFont="1">
      <alignment shrinkToFit="0" vertical="bottom" wrapText="1"/>
    </xf>
    <xf borderId="1" fillId="6" fontId="11" numFmtId="9" xfId="0" applyAlignment="1" applyBorder="1" applyFont="1" applyNumberFormat="1">
      <alignment horizontal="center" vertical="center"/>
    </xf>
    <xf borderId="6" fillId="0" fontId="7" numFmtId="0" xfId="0" applyAlignment="1" applyBorder="1" applyFont="1">
      <alignment horizontal="center" shrinkToFit="0" vertical="bottom" wrapText="1"/>
    </xf>
    <xf borderId="9" fillId="0" fontId="1" numFmtId="165" xfId="0" applyAlignment="1" applyBorder="1" applyFont="1" applyNumberFormat="1">
      <alignment vertical="bottom"/>
    </xf>
    <xf borderId="1" fillId="6" fontId="1" numFmtId="9" xfId="0" applyAlignment="1" applyBorder="1" applyFont="1" applyNumberFormat="1">
      <alignment horizontal="center" vertical="bottom"/>
    </xf>
    <xf borderId="19" fillId="0" fontId="7" numFmtId="0" xfId="0" applyAlignment="1" applyBorder="1" applyFont="1">
      <alignment shrinkToFit="0" vertical="center" wrapText="1"/>
    </xf>
    <xf borderId="19" fillId="0" fontId="7" numFmtId="0" xfId="0" applyAlignment="1" applyBorder="1" applyFont="1">
      <alignment horizontal="center" shrinkToFit="0" vertical="center" wrapText="1"/>
    </xf>
    <xf borderId="19" fillId="0" fontId="10" numFmtId="0" xfId="0" applyBorder="1" applyFont="1"/>
    <xf borderId="9" fillId="0" fontId="1" numFmtId="165" xfId="0" applyAlignment="1" applyBorder="1" applyFont="1" applyNumberFormat="1">
      <alignment vertical="center"/>
    </xf>
    <xf borderId="1" fillId="3" fontId="1" numFmtId="9" xfId="0" applyAlignment="1" applyBorder="1" applyFont="1" applyNumberFormat="1">
      <alignment horizontal="center" vertical="bottom"/>
    </xf>
    <xf borderId="10" fillId="0" fontId="10" numFmtId="0" xfId="0" applyBorder="1" applyFont="1"/>
    <xf borderId="3" fillId="0" fontId="7" numFmtId="9" xfId="0" applyAlignment="1" applyBorder="1" applyFont="1" applyNumberFormat="1">
      <alignment horizontal="left" shrinkToFit="0" vertical="center" wrapText="1"/>
    </xf>
    <xf borderId="3" fillId="0" fontId="7" numFmtId="9" xfId="0" applyAlignment="1" applyBorder="1" applyFont="1" applyNumberFormat="1">
      <alignment horizontal="center" vertical="center"/>
    </xf>
    <xf borderId="20" fillId="0" fontId="10" numFmtId="0" xfId="0" applyBorder="1" applyFont="1"/>
    <xf borderId="6" fillId="0" fontId="10" numFmtId="0" xfId="0" applyBorder="1" applyFont="1"/>
    <xf borderId="0" fillId="0" fontId="6" numFmtId="0" xfId="0" applyAlignment="1" applyFont="1">
      <alignment horizontal="right" shrinkToFit="0" vertical="bottom" wrapText="1"/>
    </xf>
    <xf borderId="0" fillId="0" fontId="11" numFmtId="165" xfId="0" applyAlignment="1" applyFont="1" applyNumberFormat="1">
      <alignment horizontal="center" shrinkToFit="0" vertical="bottom" wrapText="1"/>
    </xf>
    <xf borderId="0" fillId="0" fontId="11" numFmtId="4" xfId="0" applyAlignment="1" applyFont="1" applyNumberFormat="1">
      <alignment horizontal="center" shrinkToFit="0" vertical="center" wrapText="1"/>
    </xf>
    <xf borderId="0" fillId="0" fontId="11" numFmtId="9" xfId="0" applyAlignment="1" applyFont="1" applyNumberFormat="1">
      <alignment horizontal="center" shrinkToFit="0" vertical="bottom" wrapText="1"/>
    </xf>
    <xf borderId="0" fillId="0" fontId="1" numFmtId="0" xfId="0" applyAlignment="1" applyFont="1">
      <alignment shrinkToFit="0" vertical="bottom" wrapText="1"/>
    </xf>
    <xf borderId="10" fillId="0" fontId="9" numFmtId="0" xfId="0" applyAlignment="1" applyBorder="1" applyFont="1">
      <alignment horizontal="center" shrinkToFit="0" vertical="center" wrapText="1"/>
    </xf>
    <xf borderId="0" fillId="0" fontId="3" numFmtId="164" xfId="0" applyAlignment="1" applyFont="1" applyNumberFormat="1">
      <alignment shrinkToFit="0" vertical="bottom" wrapText="1"/>
    </xf>
    <xf borderId="0" fillId="0" fontId="1" numFmtId="164" xfId="0" applyAlignment="1" applyFont="1" applyNumberFormat="1">
      <alignment shrinkToFit="0" vertical="bottom" wrapText="1"/>
    </xf>
    <xf borderId="10" fillId="0" fontId="7" numFmtId="0" xfId="0" applyAlignment="1" applyBorder="1" applyFont="1">
      <alignment horizontal="center" shrinkToFit="0" vertical="center" wrapText="1"/>
    </xf>
    <xf borderId="10" fillId="6" fontId="7" numFmtId="0" xfId="0" applyAlignment="1" applyBorder="1" applyFont="1">
      <alignment horizontal="center" shrinkToFit="0" vertical="center" wrapText="1"/>
    </xf>
    <xf borderId="9" fillId="0" fontId="7" numFmtId="164" xfId="0" applyAlignment="1" applyBorder="1" applyFont="1" applyNumberFormat="1">
      <alignment shrinkToFit="0" vertical="bottom" wrapText="1"/>
    </xf>
    <xf borderId="9" fillId="0" fontId="1" numFmtId="165" xfId="0" applyAlignment="1" applyBorder="1" applyFont="1" applyNumberFormat="1">
      <alignment horizontal="right"/>
    </xf>
    <xf borderId="1" fillId="3" fontId="1" numFmtId="9" xfId="0" applyAlignment="1" applyBorder="1" applyFont="1" applyNumberFormat="1">
      <alignment horizontal="center"/>
    </xf>
    <xf borderId="10" fillId="0" fontId="7" numFmtId="164" xfId="0" applyAlignment="1" applyBorder="1" applyFont="1" applyNumberFormat="1">
      <alignment horizontal="center" shrinkToFit="0" vertical="center" wrapText="1"/>
    </xf>
    <xf borderId="1" fillId="6" fontId="1" numFmtId="9" xfId="0" applyAlignment="1" applyBorder="1" applyFont="1" applyNumberFormat="1">
      <alignment horizontal="center"/>
    </xf>
    <xf borderId="10" fillId="0" fontId="7" numFmtId="164" xfId="0" applyAlignment="1" applyBorder="1" applyFont="1" applyNumberFormat="1">
      <alignment shrinkToFit="0" vertical="bottom" wrapText="1"/>
    </xf>
    <xf borderId="7" fillId="0" fontId="6" numFmtId="164" xfId="0" applyAlignment="1" applyBorder="1" applyFont="1" applyNumberFormat="1">
      <alignment horizontal="right" shrinkToFit="0" vertical="bottom" wrapText="1"/>
    </xf>
    <xf borderId="0" fillId="0" fontId="3" numFmtId="164" xfId="0" applyAlignment="1" applyFont="1" applyNumberFormat="1">
      <alignment horizontal="center" shrinkToFit="0" vertical="bottom" wrapText="1"/>
    </xf>
    <xf borderId="9" fillId="3" fontId="1" numFmtId="9" xfId="0" applyAlignment="1" applyBorder="1" applyFont="1" applyNumberFormat="1">
      <alignment horizontal="center" vertical="center"/>
    </xf>
    <xf borderId="9" fillId="6" fontId="1" numFmtId="9" xfId="0" applyAlignment="1" applyBorder="1" applyFont="1" applyNumberFormat="1">
      <alignment horizontal="center" vertical="center"/>
    </xf>
    <xf borderId="9" fillId="0" fontId="7" numFmtId="165" xfId="0" applyAlignment="1" applyBorder="1" applyFont="1" applyNumberFormat="1">
      <alignment shrinkToFit="0" vertical="center" wrapText="1"/>
    </xf>
    <xf borderId="16" fillId="0" fontId="7" numFmtId="165" xfId="0" applyAlignment="1" applyBorder="1" applyFont="1" applyNumberFormat="1">
      <alignment shrinkToFit="0" vertical="center" wrapText="1"/>
    </xf>
    <xf borderId="21" fillId="0" fontId="11" numFmtId="4" xfId="0" applyAlignment="1" applyBorder="1" applyFont="1" applyNumberFormat="1">
      <alignment horizontal="center" shrinkToFit="0" vertical="center" wrapText="1"/>
    </xf>
    <xf borderId="22" fillId="0" fontId="11" numFmtId="9" xfId="0" applyAlignment="1" applyBorder="1" applyFont="1" applyNumberFormat="1">
      <alignment horizontal="center" shrinkToFit="0" vertical="bottom" wrapText="1"/>
    </xf>
    <xf borderId="23" fillId="0" fontId="1" numFmtId="0" xfId="0" applyAlignment="1" applyBorder="1" applyFont="1">
      <alignment shrinkToFit="0" vertical="bottom" wrapText="1"/>
    </xf>
    <xf borderId="24" fillId="0" fontId="1" numFmtId="0" xfId="0" applyAlignment="1" applyBorder="1" applyFont="1">
      <alignment shrinkToFit="0" vertical="bottom" wrapText="1"/>
    </xf>
    <xf borderId="9" fillId="0" fontId="1" numFmtId="165" xfId="0" applyAlignment="1" applyBorder="1" applyFont="1" applyNumberFormat="1">
      <alignment horizontal="center" vertical="bottom"/>
    </xf>
    <xf borderId="9" fillId="0" fontId="1" numFmtId="165" xfId="0" applyAlignment="1" applyBorder="1" applyFont="1" applyNumberFormat="1">
      <alignment shrinkToFit="0" vertical="bottom" wrapText="1"/>
    </xf>
    <xf borderId="7" fillId="0" fontId="11" numFmtId="9" xfId="0" applyAlignment="1" applyBorder="1" applyFont="1" applyNumberFormat="1">
      <alignment horizontal="center" shrinkToFit="0" vertical="bottom" wrapText="1"/>
    </xf>
    <xf borderId="1" fillId="0" fontId="8" numFmtId="4" xfId="0" applyAlignment="1" applyBorder="1" applyFont="1" applyNumberFormat="1">
      <alignment horizontal="center" shrinkToFit="0" vertical="bottom" wrapText="1"/>
    </xf>
    <xf borderId="1" fillId="0" fontId="1" numFmtId="165" xfId="0" applyAlignment="1" applyBorder="1" applyFont="1" applyNumberFormat="1">
      <alignment horizontal="center" vertical="bottom"/>
    </xf>
    <xf borderId="1" fillId="0" fontId="1" numFmtId="165" xfId="0" applyAlignment="1" applyBorder="1" applyFont="1" applyNumberFormat="1">
      <alignment shrinkToFit="0" vertical="bottom" wrapText="1"/>
    </xf>
    <xf borderId="7" fillId="0" fontId="11" numFmtId="4" xfId="0" applyAlignment="1" applyBorder="1" applyFont="1" applyNumberFormat="1">
      <alignment horizontal="center" shrinkToFit="0" vertical="bottom" wrapText="1"/>
    </xf>
    <xf borderId="1" fillId="0" fontId="11" numFmtId="4" xfId="0" applyAlignment="1" applyBorder="1" applyFont="1" applyNumberFormat="1">
      <alignment horizontal="center" shrinkToFit="0" vertical="bottom" wrapText="1"/>
    </xf>
    <xf borderId="1" fillId="0" fontId="1" numFmtId="0" xfId="0" applyAlignment="1" applyBorder="1" applyFont="1">
      <alignment shrinkToFit="0" vertical="bottom" wrapText="1"/>
    </xf>
    <xf borderId="0" fillId="0" fontId="1" numFmtId="0" xfId="0" applyAlignment="1" applyFont="1">
      <alignment horizontal="center"/>
    </xf>
    <xf borderId="0" fillId="0" fontId="14" numFmtId="0" xfId="0" applyAlignment="1" applyFont="1">
      <alignment horizontal="center"/>
    </xf>
    <xf borderId="0" fillId="0" fontId="14" numFmtId="165" xfId="0" applyAlignment="1" applyFont="1" applyNumberFormat="1">
      <alignment horizontal="center"/>
    </xf>
    <xf borderId="0" fillId="0" fontId="15" numFmtId="0" xfId="0" applyFont="1"/>
    <xf borderId="0" fillId="0" fontId="6" numFmtId="0" xfId="0" applyFont="1"/>
    <xf borderId="0" fillId="0" fontId="1" numFmtId="0" xfId="0" applyFont="1"/>
    <xf borderId="1" fillId="0" fontId="6" numFmtId="2" xfId="0" applyBorder="1" applyFont="1" applyNumberFormat="1"/>
    <xf borderId="1" fillId="0" fontId="6" numFmtId="0" xfId="0" applyBorder="1" applyFont="1"/>
    <xf borderId="0" fillId="0" fontId="14" numFmtId="0" xfId="0" applyFont="1"/>
    <xf borderId="0" fillId="0" fontId="16" numFmtId="0" xfId="0" applyFont="1"/>
    <xf borderId="3" fillId="0" fontId="6" numFmtId="0" xfId="0" applyAlignment="1" applyBorder="1" applyFont="1">
      <alignment horizontal="center" vertical="center"/>
    </xf>
    <xf borderId="25" fillId="0" fontId="1" numFmtId="0" xfId="0" applyBorder="1" applyFont="1"/>
    <xf borderId="26" fillId="0" fontId="1" numFmtId="166" xfId="0" applyAlignment="1" applyBorder="1" applyFont="1" applyNumberFormat="1">
      <alignment horizontal="center"/>
    </xf>
    <xf borderId="27" fillId="0" fontId="1" numFmtId="167" xfId="0" applyAlignment="1" applyBorder="1" applyFont="1" applyNumberFormat="1">
      <alignment horizontal="center"/>
    </xf>
    <xf borderId="28" fillId="0" fontId="1" numFmtId="0" xfId="0" applyBorder="1" applyFont="1"/>
    <xf borderId="1" fillId="0" fontId="1" numFmtId="166" xfId="0" applyAlignment="1" applyBorder="1" applyFont="1" applyNumberFormat="1">
      <alignment horizontal="center"/>
    </xf>
    <xf borderId="29" fillId="0" fontId="1" numFmtId="166" xfId="0" applyAlignment="1" applyBorder="1" applyFont="1" applyNumberFormat="1">
      <alignment horizontal="center"/>
    </xf>
    <xf borderId="30" fillId="0" fontId="1" numFmtId="0" xfId="0" applyBorder="1" applyFont="1"/>
    <xf borderId="31" fillId="0" fontId="1" numFmtId="166" xfId="0" applyAlignment="1" applyBorder="1" applyFont="1" applyNumberFormat="1">
      <alignment horizontal="center"/>
    </xf>
    <xf borderId="32" fillId="0" fontId="1" numFmtId="168" xfId="0" applyAlignment="1" applyBorder="1" applyFont="1" applyNumberFormat="1">
      <alignment horizontal="center"/>
    </xf>
    <xf borderId="6" fillId="0" fontId="1" numFmtId="0" xfId="0" applyBorder="1" applyFont="1"/>
    <xf borderId="6" fillId="0" fontId="1" numFmtId="166" xfId="0" applyAlignment="1" applyBorder="1" applyFont="1" applyNumberFormat="1">
      <alignment horizontal="center"/>
    </xf>
    <xf borderId="6" fillId="0" fontId="1" numFmtId="168" xfId="0" applyAlignment="1" applyBorder="1" applyFont="1" applyNumberFormat="1">
      <alignment horizontal="center"/>
    </xf>
    <xf borderId="1" fillId="0" fontId="1" numFmtId="0" xfId="0" applyBorder="1" applyFont="1"/>
    <xf borderId="1" fillId="0" fontId="1" numFmtId="167" xfId="0" applyAlignment="1" applyBorder="1" applyFont="1" applyNumberFormat="1">
      <alignment horizontal="center"/>
    </xf>
    <xf borderId="1" fillId="0" fontId="1" numFmtId="169" xfId="0" applyBorder="1" applyFont="1" applyNumberFormat="1"/>
    <xf borderId="1" fillId="0" fontId="1" numFmtId="166" xfId="0" applyBorder="1" applyFont="1" applyNumberFormat="1"/>
    <xf borderId="1" fillId="0" fontId="1" numFmtId="168" xfId="0" applyAlignment="1" applyBorder="1" applyFont="1" applyNumberFormat="1">
      <alignment horizontal="center"/>
    </xf>
    <xf borderId="0" fillId="0" fontId="17" numFmtId="0" xfId="0" applyAlignment="1" applyFont="1">
      <alignment horizontal="center" vertical="center"/>
    </xf>
    <xf borderId="33" fillId="8" fontId="18" numFmtId="0" xfId="0" applyAlignment="1" applyBorder="1" applyFill="1" applyFont="1">
      <alignment horizontal="center" vertical="center"/>
    </xf>
    <xf borderId="33" fillId="8" fontId="19" numFmtId="164" xfId="0" applyAlignment="1" applyBorder="1" applyFont="1" applyNumberFormat="1">
      <alignment horizontal="center" shrinkToFit="0" vertical="center" wrapText="1"/>
    </xf>
    <xf borderId="33" fillId="8" fontId="20" numFmtId="164" xfId="0" applyAlignment="1" applyBorder="1" applyFont="1" applyNumberFormat="1">
      <alignment horizontal="center" shrinkToFit="0" vertical="center" wrapText="1"/>
    </xf>
    <xf borderId="33" fillId="8" fontId="20" numFmtId="165" xfId="0" applyAlignment="1" applyBorder="1" applyFont="1" applyNumberFormat="1">
      <alignment horizontal="center" shrinkToFit="0" vertical="center" wrapText="1"/>
    </xf>
    <xf borderId="33" fillId="8" fontId="19" numFmtId="165" xfId="0" applyAlignment="1" applyBorder="1" applyFont="1" applyNumberFormat="1">
      <alignment horizontal="center" shrinkToFit="0" vertical="center" wrapText="1"/>
    </xf>
    <xf borderId="0" fillId="0" fontId="5" numFmtId="0" xfId="0" applyAlignment="1" applyFont="1">
      <alignment horizontal="center" vertical="center"/>
    </xf>
    <xf borderId="34" fillId="0" fontId="5" numFmtId="0" xfId="0" applyAlignment="1" applyBorder="1" applyFont="1">
      <alignment horizontal="center" shrinkToFit="0" vertical="center" wrapText="1"/>
    </xf>
    <xf borderId="33" fillId="0" fontId="4" numFmtId="0" xfId="0" applyAlignment="1" applyBorder="1" applyFont="1">
      <alignment horizontal="center" shrinkToFit="0" vertical="center" wrapText="1"/>
    </xf>
    <xf borderId="33" fillId="0" fontId="4" numFmtId="0" xfId="0" applyAlignment="1" applyBorder="1" applyFont="1">
      <alignment horizontal="center" vertical="center"/>
    </xf>
    <xf borderId="33" fillId="0" fontId="6" numFmtId="3" xfId="0" applyAlignment="1" applyBorder="1" applyFont="1" applyNumberFormat="1">
      <alignment horizontal="center" vertical="center"/>
    </xf>
    <xf borderId="33" fillId="0" fontId="6" numFmtId="4" xfId="0" applyAlignment="1" applyBorder="1" applyFont="1" applyNumberFormat="1">
      <alignment horizontal="center" vertical="center"/>
    </xf>
    <xf borderId="33" fillId="0" fontId="4" numFmtId="3" xfId="0" applyAlignment="1" applyBorder="1" applyFont="1" applyNumberFormat="1">
      <alignment horizontal="center" vertical="center"/>
    </xf>
    <xf borderId="35" fillId="0" fontId="10" numFmtId="0" xfId="0" applyBorder="1" applyFont="1"/>
    <xf borderId="33" fillId="0" fontId="5" numFmtId="0" xfId="0" applyAlignment="1" applyBorder="1" applyFont="1">
      <alignment horizontal="center" vertical="center"/>
    </xf>
    <xf borderId="33" fillId="0" fontId="1" numFmtId="3" xfId="0" applyAlignment="1" applyBorder="1" applyFont="1" applyNumberFormat="1">
      <alignment horizontal="center" vertical="center"/>
    </xf>
    <xf borderId="33" fillId="0" fontId="1" numFmtId="4" xfId="0" applyAlignment="1" applyBorder="1" applyFont="1" applyNumberFormat="1">
      <alignment horizontal="center" vertical="center"/>
    </xf>
    <xf borderId="33" fillId="0" fontId="5" numFmtId="3" xfId="0" applyAlignment="1" applyBorder="1" applyFont="1" applyNumberFormat="1">
      <alignment horizontal="center" vertical="center"/>
    </xf>
    <xf borderId="36" fillId="0" fontId="10" numFmtId="0" xfId="0" applyBorder="1" applyFont="1"/>
    <xf borderId="33" fillId="0" fontId="5" numFmtId="2" xfId="0" applyAlignment="1" applyBorder="1" applyFont="1" applyNumberFormat="1">
      <alignment horizontal="center" vertical="center"/>
    </xf>
    <xf borderId="33" fillId="9" fontId="1" numFmtId="0" xfId="0" applyAlignment="1" applyBorder="1" applyFill="1" applyFont="1">
      <alignment horizontal="center" vertical="center"/>
    </xf>
    <xf borderId="33" fillId="9" fontId="6" numFmtId="0" xfId="0" applyAlignment="1" applyBorder="1" applyFont="1">
      <alignment horizontal="center" vertical="center"/>
    </xf>
    <xf borderId="33" fillId="9" fontId="1" numFmtId="3" xfId="0" applyAlignment="1" applyBorder="1" applyFont="1" applyNumberFormat="1">
      <alignment horizontal="center" vertical="center"/>
    </xf>
    <xf borderId="33" fillId="9" fontId="1" numFmtId="4" xfId="0" applyAlignment="1" applyBorder="1" applyFont="1" applyNumberFormat="1">
      <alignment horizontal="center" vertical="center"/>
    </xf>
    <xf borderId="33" fillId="9" fontId="5" numFmtId="3" xfId="0" applyAlignment="1" applyBorder="1" applyFont="1" applyNumberFormat="1">
      <alignment horizontal="center" vertical="center"/>
    </xf>
    <xf borderId="0" fillId="0" fontId="1" numFmtId="0" xfId="0" applyAlignment="1" applyFont="1">
      <alignment horizontal="center" vertical="center"/>
    </xf>
    <xf borderId="34" fillId="0" fontId="1" numFmtId="0" xfId="0" applyAlignment="1" applyBorder="1" applyFont="1">
      <alignment horizontal="center" vertical="center"/>
    </xf>
    <xf borderId="34" fillId="0" fontId="6" numFmtId="0" xfId="0" applyAlignment="1" applyBorder="1" applyFont="1">
      <alignment horizontal="center" vertical="center"/>
    </xf>
    <xf borderId="33" fillId="0" fontId="6" numFmtId="0" xfId="0" applyAlignment="1" applyBorder="1" applyFont="1">
      <alignment horizontal="center" vertical="center"/>
    </xf>
    <xf borderId="33" fillId="0" fontId="1" numFmtId="0" xfId="0" applyAlignment="1" applyBorder="1" applyFont="1">
      <alignment horizontal="center" vertical="center"/>
    </xf>
    <xf borderId="34" fillId="10" fontId="6" numFmtId="0" xfId="0" applyAlignment="1" applyBorder="1" applyFill="1" applyFont="1">
      <alignment horizontal="center" vertical="center"/>
    </xf>
    <xf borderId="33" fillId="10" fontId="1" numFmtId="0" xfId="0" applyAlignment="1" applyBorder="1" applyFont="1">
      <alignment horizontal="center" vertical="center"/>
    </xf>
    <xf borderId="33" fillId="10" fontId="1" numFmtId="3" xfId="0" applyAlignment="1" applyBorder="1" applyFont="1" applyNumberFormat="1">
      <alignment horizontal="center" vertical="center"/>
    </xf>
    <xf borderId="33" fillId="10" fontId="1" numFmtId="4" xfId="0" applyAlignment="1" applyBorder="1" applyFont="1" applyNumberFormat="1">
      <alignment horizontal="center" vertical="center"/>
    </xf>
    <xf borderId="33" fillId="10" fontId="5" numFmtId="3" xfId="0" applyAlignment="1" applyBorder="1" applyFont="1" applyNumberFormat="1">
      <alignment horizontal="center" vertical="center"/>
    </xf>
    <xf borderId="34" fillId="0" fontId="6" numFmtId="3" xfId="0" applyAlignment="1" applyBorder="1" applyFont="1" applyNumberFormat="1">
      <alignment horizontal="center" vertical="center"/>
    </xf>
    <xf borderId="34" fillId="0" fontId="6" numFmtId="4" xfId="0" applyAlignment="1" applyBorder="1" applyFont="1" applyNumberFormat="1">
      <alignment horizontal="center" vertical="center"/>
    </xf>
    <xf borderId="34" fillId="0" fontId="4" numFmtId="3" xfId="0" applyAlignment="1" applyBorder="1" applyFont="1" applyNumberFormat="1">
      <alignment horizontal="center" vertical="center"/>
    </xf>
    <xf borderId="33" fillId="0" fontId="13" numFmtId="3" xfId="0" applyAlignment="1" applyBorder="1" applyFont="1" applyNumberFormat="1">
      <alignment horizontal="center" vertical="center"/>
    </xf>
    <xf borderId="33" fillId="9" fontId="14" numFmtId="3" xfId="0" applyAlignment="1" applyBorder="1" applyFont="1" applyNumberFormat="1">
      <alignment horizontal="center" vertical="center"/>
    </xf>
    <xf borderId="34" fillId="0" fontId="5" numFmtId="0" xfId="0" applyAlignment="1" applyBorder="1" applyFont="1">
      <alignment horizontal="center" vertical="center"/>
    </xf>
    <xf borderId="33" fillId="0" fontId="14" numFmtId="3" xfId="0" applyAlignment="1" applyBorder="1" applyFont="1" applyNumberFormat="1">
      <alignment horizontal="center" vertical="center"/>
    </xf>
    <xf borderId="33" fillId="9" fontId="5" numFmtId="0" xfId="0" applyAlignment="1" applyBorder="1" applyFont="1">
      <alignment horizontal="center" vertical="center"/>
    </xf>
    <xf borderId="33" fillId="0" fontId="14" numFmtId="4" xfId="0" applyAlignment="1" applyBorder="1" applyFont="1" applyNumberFormat="1">
      <alignment horizontal="center" vertical="center"/>
    </xf>
    <xf borderId="33" fillId="9" fontId="5" numFmtId="4" xfId="0" applyAlignment="1" applyBorder="1" applyFont="1" applyNumberFormat="1">
      <alignment horizontal="center" vertical="center"/>
    </xf>
    <xf borderId="33" fillId="6" fontId="21" numFmtId="3" xfId="0" applyAlignment="1" applyBorder="1" applyFont="1" applyNumberFormat="1">
      <alignment horizontal="center" vertical="center"/>
    </xf>
    <xf borderId="0" fillId="0" fontId="1" numFmtId="10" xfId="0" applyFont="1" applyNumberFormat="1"/>
    <xf borderId="33" fillId="6" fontId="6" numFmtId="3" xfId="0" applyAlignment="1" applyBorder="1" applyFont="1" applyNumberFormat="1">
      <alignment horizontal="center" vertical="center"/>
    </xf>
    <xf borderId="33" fillId="6" fontId="13" numFmtId="3" xfId="0" applyAlignment="1" applyBorder="1" applyFont="1" applyNumberFormat="1">
      <alignment horizontal="center" vertical="center"/>
    </xf>
    <xf borderId="33" fillId="6" fontId="1" numFmtId="3" xfId="0" applyAlignment="1" applyBorder="1" applyFont="1" applyNumberFormat="1">
      <alignment horizontal="center" vertical="center"/>
    </xf>
    <xf borderId="33" fillId="6" fontId="14" numFmtId="3" xfId="0" applyAlignment="1" applyBorder="1" applyFont="1" applyNumberFormat="1">
      <alignment horizontal="center" vertical="center"/>
    </xf>
    <xf borderId="0" fillId="0" fontId="1" numFmtId="9" xfId="0" applyFont="1" applyNumberFormat="1"/>
    <xf borderId="33" fillId="6" fontId="21" numFmtId="0" xfId="0" applyAlignment="1" applyBorder="1" applyFont="1">
      <alignment horizontal="center" vertical="center"/>
    </xf>
    <xf borderId="0" fillId="0" fontId="6" numFmtId="0" xfId="0" applyAlignment="1" applyFont="1">
      <alignment horizontal="center" vertical="center"/>
    </xf>
    <xf borderId="0" fillId="0" fontId="1" numFmtId="170" xfId="0" applyAlignment="1" applyFont="1" applyNumberFormat="1">
      <alignment horizontal="center" vertical="center"/>
    </xf>
    <xf borderId="0" fillId="0" fontId="14" numFmtId="165" xfId="0" applyAlignment="1" applyFont="1" applyNumberFormat="1">
      <alignment horizontal="center" vertical="center"/>
    </xf>
    <xf borderId="0" fillId="0" fontId="1" numFmtId="165" xfId="0" applyAlignment="1" applyFont="1" applyNumberFormat="1">
      <alignment horizontal="center" vertical="center"/>
    </xf>
    <xf borderId="0" fillId="0" fontId="1" numFmtId="171" xfId="0" applyAlignment="1" applyFont="1" applyNumberFormat="1">
      <alignment horizontal="center" vertical="center"/>
    </xf>
    <xf borderId="37" fillId="11" fontId="22" numFmtId="0" xfId="0" applyAlignment="1" applyBorder="1" applyFill="1" applyFont="1">
      <alignment horizontal="center" vertical="center"/>
    </xf>
    <xf borderId="38" fillId="0" fontId="10" numFmtId="0" xfId="0" applyBorder="1" applyFont="1"/>
    <xf borderId="33" fillId="12" fontId="18" numFmtId="0" xfId="0" applyAlignment="1" applyBorder="1" applyFill="1" applyFont="1">
      <alignment horizontal="center" vertical="center"/>
    </xf>
    <xf borderId="39" fillId="12" fontId="20" numFmtId="164" xfId="0" applyAlignment="1" applyBorder="1" applyFont="1" applyNumberFormat="1">
      <alignment horizontal="center" shrinkToFit="0" vertical="center" wrapText="1"/>
    </xf>
    <xf borderId="39" fillId="12" fontId="20" numFmtId="165" xfId="0" applyAlignment="1" applyBorder="1" applyFont="1" applyNumberFormat="1">
      <alignment horizontal="center" shrinkToFit="0" vertical="center" wrapText="1"/>
    </xf>
    <xf borderId="33" fillId="13" fontId="4" numFmtId="0" xfId="0" applyAlignment="1" applyBorder="1" applyFill="1" applyFont="1">
      <alignment horizontal="center" shrinkToFit="0" vertical="center" wrapText="1"/>
    </xf>
    <xf borderId="33" fillId="13" fontId="5" numFmtId="0" xfId="0" applyAlignment="1" applyBorder="1" applyFont="1">
      <alignment horizontal="center" vertical="center"/>
    </xf>
    <xf borderId="33" fillId="13" fontId="1" numFmtId="1" xfId="0" applyAlignment="1" applyBorder="1" applyFont="1" applyNumberFormat="1">
      <alignment horizontal="center" vertical="center"/>
    </xf>
    <xf borderId="33" fillId="13" fontId="5" numFmtId="1" xfId="0" applyAlignment="1" applyBorder="1" applyFont="1" applyNumberFormat="1">
      <alignment horizontal="center" vertical="center"/>
    </xf>
    <xf borderId="33" fillId="14" fontId="6" numFmtId="0" xfId="0" applyAlignment="1" applyBorder="1" applyFill="1" applyFont="1">
      <alignment horizontal="center" vertical="center"/>
    </xf>
    <xf borderId="33" fillId="14" fontId="1" numFmtId="0" xfId="0" applyAlignment="1" applyBorder="1" applyFont="1">
      <alignment horizontal="center" vertical="center"/>
    </xf>
    <xf borderId="33" fillId="14" fontId="1" numFmtId="1" xfId="0" applyAlignment="1" applyBorder="1" applyFont="1" applyNumberFormat="1">
      <alignment horizontal="center" vertical="center"/>
    </xf>
    <xf borderId="33" fillId="14" fontId="5" numFmtId="1" xfId="0" applyAlignment="1" applyBorder="1" applyFont="1" applyNumberFormat="1">
      <alignment horizontal="center" vertical="center"/>
    </xf>
    <xf borderId="34" fillId="15" fontId="6" numFmtId="0" xfId="0" applyAlignment="1" applyBorder="1" applyFill="1" applyFont="1">
      <alignment horizontal="center" vertical="center"/>
    </xf>
    <xf borderId="33" fillId="15" fontId="1" numFmtId="0" xfId="0" applyAlignment="1" applyBorder="1" applyFont="1">
      <alignment horizontal="center" vertical="center"/>
    </xf>
    <xf borderId="33" fillId="15" fontId="1" numFmtId="1" xfId="0" applyAlignment="1" applyBorder="1" applyFont="1" applyNumberFormat="1">
      <alignment horizontal="center" vertical="center"/>
    </xf>
    <xf borderId="33" fillId="15" fontId="5" numFmtId="1" xfId="0" applyAlignment="1" applyBorder="1" applyFont="1" applyNumberFormat="1">
      <alignment horizontal="center" vertical="center"/>
    </xf>
    <xf borderId="34" fillId="16" fontId="6" numFmtId="0" xfId="0" applyAlignment="1" applyBorder="1" applyFill="1" applyFont="1">
      <alignment horizontal="center" vertical="center"/>
    </xf>
    <xf borderId="33" fillId="16" fontId="1" numFmtId="0" xfId="0" applyAlignment="1" applyBorder="1" applyFont="1">
      <alignment horizontal="center" vertical="center"/>
    </xf>
    <xf borderId="33" fillId="16" fontId="1" numFmtId="1" xfId="0" applyAlignment="1" applyBorder="1" applyFont="1" applyNumberFormat="1">
      <alignment horizontal="center" vertical="center"/>
    </xf>
    <xf borderId="33" fillId="16" fontId="1" numFmtId="1" xfId="0" applyAlignment="1" applyBorder="1" applyFont="1" applyNumberFormat="1">
      <alignment horizontal="center"/>
    </xf>
    <xf borderId="0" fillId="0" fontId="23" numFmtId="0" xfId="0" applyFont="1"/>
    <xf borderId="0" fillId="6" fontId="23" numFmtId="0" xfId="0" applyFont="1"/>
    <xf borderId="40" fillId="8" fontId="23" numFmtId="0" xfId="0" applyAlignment="1" applyBorder="1" applyFont="1">
      <alignment horizontal="center"/>
    </xf>
    <xf borderId="41" fillId="0" fontId="10" numFmtId="0" xfId="0" applyBorder="1" applyFont="1"/>
    <xf borderId="42" fillId="0" fontId="10" numFmtId="0" xfId="0" applyBorder="1" applyFont="1"/>
    <xf borderId="43" fillId="6" fontId="23" numFmtId="0" xfId="0" applyAlignment="1" applyBorder="1" applyFont="1">
      <alignment horizontal="center"/>
    </xf>
    <xf borderId="43" fillId="0" fontId="10" numFmtId="0" xfId="0" applyBorder="1" applyFont="1"/>
    <xf borderId="44" fillId="0" fontId="10" numFmtId="0" xfId="0" applyBorder="1" applyFont="1"/>
    <xf borderId="45" fillId="17" fontId="24" numFmtId="0" xfId="0" applyAlignment="1" applyBorder="1" applyFill="1" applyFont="1">
      <alignment horizontal="center"/>
    </xf>
    <xf borderId="33" fillId="17" fontId="24" numFmtId="0" xfId="0" applyAlignment="1" applyBorder="1" applyFont="1">
      <alignment horizontal="center" vertical="center"/>
    </xf>
    <xf borderId="33" fillId="0" fontId="23" numFmtId="0" xfId="0" applyAlignment="1" applyBorder="1" applyFont="1">
      <alignment horizontal="center" vertical="center"/>
    </xf>
    <xf borderId="33" fillId="0" fontId="23" numFmtId="9" xfId="0" applyAlignment="1" applyBorder="1" applyFont="1" applyNumberFormat="1">
      <alignment horizontal="center" vertical="center"/>
    </xf>
    <xf borderId="33" fillId="0" fontId="23" numFmtId="49" xfId="0" applyAlignment="1" applyBorder="1" applyFont="1" applyNumberFormat="1">
      <alignment horizontal="center" vertical="center"/>
    </xf>
    <xf borderId="33" fillId="8" fontId="25" numFmtId="0" xfId="0" applyAlignment="1" applyBorder="1" applyFont="1">
      <alignment horizontal="center" vertical="center"/>
    </xf>
    <xf borderId="33" fillId="8" fontId="25" numFmtId="9" xfId="0" applyAlignment="1" applyBorder="1" applyFont="1" applyNumberFormat="1">
      <alignment horizontal="center" vertical="center"/>
    </xf>
    <xf borderId="0" fillId="6" fontId="1" numFmtId="0" xfId="0" applyAlignment="1" applyFont="1">
      <alignment vertical="bottom"/>
    </xf>
    <xf borderId="45" fillId="18" fontId="26" numFmtId="0" xfId="0" applyAlignment="1" applyBorder="1" applyFill="1" applyFont="1">
      <alignment horizontal="center" vertical="center"/>
    </xf>
    <xf borderId="46" fillId="0" fontId="10" numFmtId="0" xfId="0" applyBorder="1" applyFont="1"/>
    <xf borderId="47" fillId="0" fontId="10" numFmtId="0" xfId="0" applyBorder="1" applyFont="1"/>
    <xf borderId="0" fillId="6" fontId="26" numFmtId="0" xfId="0" applyAlignment="1" applyFont="1">
      <alignment horizontal="center" vertical="center"/>
    </xf>
    <xf borderId="34" fillId="19" fontId="27" numFmtId="0" xfId="0" applyAlignment="1" applyBorder="1" applyFill="1" applyFont="1">
      <alignment horizontal="center" shrinkToFit="0" vertical="center" wrapText="1"/>
    </xf>
    <xf borderId="34" fillId="19" fontId="27" numFmtId="165" xfId="0" applyAlignment="1" applyBorder="1" applyFont="1" applyNumberFormat="1">
      <alignment horizontal="center" shrinkToFit="0" vertical="center" wrapText="1"/>
    </xf>
    <xf borderId="40" fillId="19" fontId="27" numFmtId="0" xfId="0" applyAlignment="1" applyBorder="1" applyFont="1">
      <alignment horizontal="center" shrinkToFit="0" vertical="center" wrapText="1"/>
    </xf>
    <xf borderId="0" fillId="6" fontId="27" numFmtId="0" xfId="0" applyAlignment="1" applyFont="1">
      <alignment horizontal="center" shrinkToFit="0" vertical="center" wrapText="1"/>
    </xf>
    <xf borderId="48" fillId="0" fontId="10" numFmtId="0" xfId="0" applyBorder="1" applyFont="1"/>
    <xf borderId="33" fillId="19" fontId="27" numFmtId="0" xfId="0" applyAlignment="1" applyBorder="1" applyFont="1">
      <alignment horizontal="center" shrinkToFit="0" vertical="center" wrapText="1"/>
    </xf>
    <xf borderId="34" fillId="0" fontId="28" numFmtId="0" xfId="0" applyAlignment="1" applyBorder="1" applyFont="1">
      <alignment horizontal="center" shrinkToFit="0" vertical="center" wrapText="1"/>
    </xf>
    <xf borderId="33" fillId="10" fontId="29" numFmtId="0" xfId="0" applyAlignment="1" applyBorder="1" applyFont="1">
      <alignment horizontal="center" vertical="center"/>
    </xf>
    <xf borderId="33" fillId="10" fontId="28" numFmtId="165" xfId="0" applyAlignment="1" applyBorder="1" applyFont="1" applyNumberFormat="1">
      <alignment horizontal="center" vertical="center"/>
    </xf>
    <xf borderId="34" fillId="10" fontId="28" numFmtId="165" xfId="0" applyAlignment="1" applyBorder="1" applyFont="1" applyNumberFormat="1">
      <alignment horizontal="center" vertical="center"/>
    </xf>
    <xf borderId="0" fillId="6" fontId="28" numFmtId="165" xfId="0" applyAlignment="1" applyFont="1" applyNumberFormat="1">
      <alignment vertical="center"/>
    </xf>
    <xf borderId="33" fillId="6" fontId="29" numFmtId="0" xfId="0" applyAlignment="1" applyBorder="1" applyFont="1">
      <alignment horizontal="center" vertical="center"/>
    </xf>
    <xf borderId="33" fillId="6" fontId="28" numFmtId="165" xfId="0" applyAlignment="1" applyBorder="1" applyFont="1" applyNumberFormat="1">
      <alignment horizontal="center" vertical="center"/>
    </xf>
    <xf borderId="34" fillId="6" fontId="28" numFmtId="165" xfId="0" applyAlignment="1" applyBorder="1" applyFont="1" applyNumberFormat="1">
      <alignment horizontal="center" vertical="center"/>
    </xf>
    <xf borderId="34" fillId="8" fontId="30" numFmtId="0" xfId="0" applyAlignment="1" applyBorder="1" applyFont="1">
      <alignment horizontal="center" shrinkToFit="0" vertical="center" wrapText="1"/>
    </xf>
    <xf borderId="33" fillId="19" fontId="31" numFmtId="0" xfId="0" applyBorder="1" applyFont="1"/>
    <xf borderId="0" fillId="6" fontId="14" numFmtId="0" xfId="0" applyFont="1"/>
    <xf borderId="0" fillId="0" fontId="32" numFmtId="0" xfId="0" applyFont="1"/>
    <xf borderId="49" fillId="18" fontId="25" numFmtId="165" xfId="0" applyAlignment="1" applyBorder="1" applyFont="1" applyNumberFormat="1">
      <alignment horizontal="center" vertical="bottom"/>
    </xf>
    <xf borderId="50" fillId="0" fontId="10" numFmtId="0" xfId="0" applyBorder="1" applyFont="1"/>
    <xf borderId="51" fillId="0" fontId="32" numFmtId="0" xfId="0" applyBorder="1" applyFont="1"/>
    <xf borderId="52" fillId="0" fontId="32" numFmtId="0" xfId="0" applyBorder="1" applyFont="1"/>
    <xf borderId="53" fillId="0" fontId="32" numFmtId="0" xfId="0" applyBorder="1" applyFont="1"/>
    <xf borderId="54" fillId="0" fontId="32" numFmtId="0" xfId="0" applyBorder="1" applyFont="1"/>
    <xf borderId="55" fillId="0" fontId="32" numFmtId="0" xfId="0" applyBorder="1" applyFont="1"/>
    <xf borderId="56" fillId="0" fontId="32" numFmtId="0" xfId="0" applyAlignment="1" applyBorder="1" applyFont="1">
      <alignment horizontal="left" vertical="top"/>
    </xf>
    <xf borderId="57" fillId="0" fontId="32" numFmtId="0" xfId="0" applyAlignment="1" applyBorder="1" applyFont="1">
      <alignment horizontal="center"/>
    </xf>
    <xf borderId="58" fillId="0" fontId="10" numFmtId="0" xfId="0" applyBorder="1" applyFont="1"/>
    <xf borderId="49" fillId="0" fontId="32" numFmtId="0" xfId="0" applyAlignment="1" applyBorder="1" applyFont="1">
      <alignment horizontal="center"/>
    </xf>
    <xf borderId="0" fillId="0" fontId="32" numFmtId="0" xfId="0" applyAlignment="1" applyFont="1">
      <alignment horizontal="center"/>
    </xf>
    <xf borderId="0" fillId="0" fontId="33" numFmtId="0" xfId="0" applyAlignment="1" applyFont="1">
      <alignment horizontal="center" vertical="bottom"/>
    </xf>
    <xf borderId="45" fillId="18" fontId="25" numFmtId="0" xfId="0" applyAlignment="1" applyBorder="1" applyFont="1">
      <alignment horizontal="center"/>
    </xf>
    <xf borderId="40" fillId="17" fontId="34" numFmtId="0" xfId="0" applyAlignment="1" applyBorder="1" applyFont="1">
      <alignment horizontal="center"/>
    </xf>
    <xf borderId="40" fillId="17" fontId="23" numFmtId="0" xfId="0" applyAlignment="1" applyBorder="1" applyFont="1">
      <alignment horizontal="center"/>
    </xf>
    <xf borderId="40" fillId="17" fontId="1" numFmtId="172" xfId="0" applyBorder="1" applyFont="1" applyNumberFormat="1"/>
    <xf borderId="40" fillId="17" fontId="1" numFmtId="0" xfId="0" applyBorder="1" applyFont="1"/>
    <xf borderId="59" fillId="0" fontId="10" numFmtId="0" xfId="0" applyBorder="1" applyFont="1"/>
    <xf borderId="60" fillId="0" fontId="10" numFmtId="0" xfId="0" applyBorder="1" applyFont="1"/>
    <xf borderId="34" fillId="18" fontId="35" numFmtId="0" xfId="0" applyAlignment="1" applyBorder="1" applyFont="1">
      <alignment horizontal="center"/>
    </xf>
    <xf borderId="34" fillId="18" fontId="36" numFmtId="0" xfId="0" applyAlignment="1" applyBorder="1" applyFont="1">
      <alignment horizontal="center"/>
    </xf>
    <xf borderId="45" fillId="18" fontId="25" numFmtId="0" xfId="0" applyAlignment="1" applyBorder="1" applyFont="1">
      <alignment horizontal="center" vertical="bottom"/>
    </xf>
    <xf borderId="33" fillId="18" fontId="25" numFmtId="0" xfId="0" applyAlignment="1" applyBorder="1" applyFont="1">
      <alignment horizontal="center"/>
    </xf>
    <xf borderId="34" fillId="18" fontId="25" numFmtId="0" xfId="0" applyAlignment="1" applyBorder="1" applyFont="1">
      <alignment horizontal="center"/>
    </xf>
    <xf borderId="34" fillId="18" fontId="25" numFmtId="0" xfId="0" applyAlignment="1" applyBorder="1" applyFont="1">
      <alignment horizontal="center" shrinkToFit="0" wrapText="1"/>
    </xf>
    <xf borderId="33" fillId="17" fontId="34" numFmtId="0" xfId="0" applyAlignment="1" applyBorder="1" applyFont="1">
      <alignment horizontal="center"/>
    </xf>
    <xf borderId="33" fillId="0" fontId="23" numFmtId="0" xfId="0" applyAlignment="1" applyBorder="1" applyFont="1">
      <alignment horizontal="center"/>
    </xf>
    <xf borderId="33" fillId="0" fontId="1" numFmtId="0" xfId="0" applyAlignment="1" applyBorder="1" applyFont="1">
      <alignment shrinkToFit="0" wrapText="1"/>
    </xf>
    <xf borderId="33" fillId="6" fontId="23" numFmtId="1" xfId="0" applyAlignment="1" applyBorder="1" applyFont="1" applyNumberFormat="1">
      <alignment horizontal="center"/>
    </xf>
    <xf borderId="33" fillId="0" fontId="23" numFmtId="165" xfId="0" applyAlignment="1" applyBorder="1" applyFont="1" applyNumberFormat="1">
      <alignment horizontal="center"/>
    </xf>
    <xf borderId="33" fillId="6" fontId="1" numFmtId="165" xfId="0" applyBorder="1" applyFont="1" applyNumberFormat="1"/>
    <xf borderId="33" fillId="0" fontId="34" numFmtId="165" xfId="0" applyAlignment="1" applyBorder="1" applyFont="1" applyNumberFormat="1">
      <alignment horizontal="center"/>
    </xf>
    <xf borderId="33" fillId="0" fontId="23" numFmtId="165" xfId="0" applyAlignment="1" applyBorder="1" applyFont="1" applyNumberFormat="1">
      <alignment horizontal="right"/>
    </xf>
    <xf borderId="33" fillId="20" fontId="23" numFmtId="9" xfId="0" applyAlignment="1" applyBorder="1" applyFill="1" applyFont="1" applyNumberFormat="1">
      <alignment horizontal="right"/>
    </xf>
    <xf borderId="33" fillId="0" fontId="1" numFmtId="0" xfId="0" applyBorder="1" applyFont="1"/>
    <xf borderId="33" fillId="18" fontId="1" numFmtId="0" xfId="0" applyAlignment="1" applyBorder="1" applyFont="1">
      <alignment vertical="bottom"/>
    </xf>
    <xf borderId="33" fillId="18" fontId="37" numFmtId="0" xfId="0" applyAlignment="1" applyBorder="1" applyFont="1">
      <alignment horizontal="center" shrinkToFit="0" wrapText="1"/>
    </xf>
    <xf borderId="33" fillId="18" fontId="38" numFmtId="3" xfId="0" applyAlignment="1" applyBorder="1" applyFont="1" applyNumberFormat="1">
      <alignment horizontal="center"/>
    </xf>
    <xf borderId="33" fillId="8" fontId="25" numFmtId="165" xfId="0" applyAlignment="1" applyBorder="1" applyFont="1" applyNumberFormat="1">
      <alignment horizontal="center"/>
    </xf>
    <xf borderId="0" fillId="0" fontId="23" numFmtId="0" xfId="0" applyAlignment="1" applyFont="1">
      <alignment horizontal="center"/>
    </xf>
    <xf borderId="33" fillId="18" fontId="25" numFmtId="165" xfId="0" applyAlignment="1" applyBorder="1" applyFont="1" applyNumberFormat="1">
      <alignment horizontal="center"/>
    </xf>
    <xf borderId="33" fillId="18" fontId="25" numFmtId="165" xfId="0" applyAlignment="1" applyBorder="1" applyFont="1" applyNumberFormat="1">
      <alignment horizontal="right" vertical="bottom"/>
    </xf>
    <xf borderId="33" fillId="18" fontId="25" numFmtId="9" xfId="0" applyAlignment="1" applyBorder="1" applyFont="1" applyNumberFormat="1">
      <alignment horizontal="right" vertical="bottom"/>
    </xf>
    <xf borderId="33" fillId="18" fontId="37" numFmtId="2" xfId="0" applyAlignment="1" applyBorder="1" applyFont="1" applyNumberFormat="1">
      <alignment horizontal="center" shrinkToFit="0" wrapText="1"/>
    </xf>
    <xf borderId="0" fillId="0" fontId="34" numFmtId="1" xfId="0" applyAlignment="1" applyFont="1" applyNumberFormat="1">
      <alignment horizontal="center"/>
    </xf>
    <xf borderId="0" fillId="0" fontId="1" numFmtId="1" xfId="0" applyFont="1" applyNumberFormat="1"/>
    <xf borderId="0" fillId="6" fontId="1" numFmtId="1" xfId="0" applyFont="1" applyNumberFormat="1"/>
    <xf borderId="0" fillId="0" fontId="39" numFmtId="1" xfId="0" applyAlignment="1" applyFont="1" applyNumberFormat="1">
      <alignment horizontal="center"/>
    </xf>
    <xf borderId="1" fillId="0" fontId="40" numFmtId="0" xfId="0" applyAlignment="1" applyBorder="1" applyFont="1">
      <alignment horizontal="center" shrinkToFit="0" wrapText="1"/>
    </xf>
    <xf borderId="1" fillId="0" fontId="23" numFmtId="3" xfId="0" applyAlignment="1" applyBorder="1" applyFont="1" applyNumberFormat="1">
      <alignment horizontal="center"/>
    </xf>
    <xf borderId="1" fillId="6" fontId="1" numFmtId="3" xfId="0" applyBorder="1" applyFont="1" applyNumberFormat="1"/>
    <xf borderId="1" fillId="6" fontId="1" numFmtId="0" xfId="0" applyBorder="1" applyFont="1"/>
    <xf borderId="0" fillId="0" fontId="1" numFmtId="3" xfId="0" applyFont="1" applyNumberFormat="1"/>
    <xf borderId="1" fillId="6" fontId="40" numFmtId="0" xfId="0" applyAlignment="1" applyBorder="1" applyFont="1">
      <alignment horizontal="center" shrinkToFit="0" wrapText="1"/>
    </xf>
    <xf borderId="1" fillId="0" fontId="23" numFmtId="0" xfId="0" applyAlignment="1" applyBorder="1" applyFont="1">
      <alignment horizontal="center"/>
    </xf>
    <xf borderId="1" fillId="0" fontId="23" numFmtId="0" xfId="0" applyAlignment="1" applyBorder="1" applyFont="1">
      <alignment horizontal="center" shrinkToFit="0" wrapText="1"/>
    </xf>
    <xf borderId="1" fillId="0" fontId="23" numFmtId="173" xfId="0" applyAlignment="1" applyBorder="1" applyFont="1" applyNumberFormat="1">
      <alignment horizontal="center" shrinkToFit="0" wrapText="1"/>
    </xf>
    <xf borderId="7" fillId="18" fontId="41" numFmtId="0" xfId="0" applyAlignment="1" applyBorder="1" applyFont="1">
      <alignment horizontal="right" vertical="bottom"/>
    </xf>
    <xf borderId="7" fillId="0" fontId="1" numFmtId="0" xfId="0" applyAlignment="1" applyBorder="1" applyFont="1">
      <alignment vertical="bottom"/>
    </xf>
    <xf borderId="7" fillId="6" fontId="1" numFmtId="0" xfId="0" applyAlignment="1" applyBorder="1" applyFont="1">
      <alignment vertical="bottom"/>
    </xf>
    <xf borderId="0" fillId="0" fontId="42" numFmtId="0" xfId="0" applyAlignment="1" applyFont="1">
      <alignment horizontal="center" vertical="bottom"/>
    </xf>
    <xf borderId="1" fillId="0" fontId="34" numFmtId="0" xfId="0" applyAlignment="1" applyBorder="1" applyFont="1">
      <alignment horizontal="right" shrinkToFit="0" wrapText="1"/>
    </xf>
    <xf borderId="1" fillId="0" fontId="23" numFmtId="9" xfId="0" applyAlignment="1" applyBorder="1" applyFont="1" applyNumberFormat="1">
      <alignment horizontal="center"/>
    </xf>
    <xf borderId="1" fillId="6" fontId="23" numFmtId="9" xfId="0" applyAlignment="1" applyBorder="1" applyFont="1" applyNumberFormat="1">
      <alignment horizontal="center"/>
    </xf>
    <xf borderId="4" fillId="6" fontId="23" numFmtId="9" xfId="0" applyAlignment="1" applyBorder="1" applyFont="1" applyNumberFormat="1">
      <alignment horizontal="center"/>
    </xf>
    <xf borderId="16" fillId="0" fontId="1" numFmtId="0" xfId="0" applyAlignment="1" applyBorder="1" applyFont="1">
      <alignment vertical="bottom"/>
    </xf>
    <xf borderId="9" fillId="0" fontId="34" numFmtId="0" xfId="0" applyAlignment="1" applyBorder="1" applyFont="1">
      <alignment horizontal="right" shrinkToFit="0" vertical="bottom" wrapText="1"/>
    </xf>
    <xf borderId="9" fillId="0" fontId="23" numFmtId="2" xfId="0" applyAlignment="1" applyBorder="1" applyFont="1" applyNumberFormat="1">
      <alignment horizontal="right" vertical="bottom"/>
    </xf>
    <xf borderId="6" fillId="0" fontId="23" numFmtId="170" xfId="0" applyAlignment="1" applyBorder="1" applyFont="1" applyNumberFormat="1">
      <alignment horizontal="center" vertical="bottom"/>
    </xf>
    <xf borderId="9" fillId="0" fontId="23" numFmtId="170" xfId="0" applyAlignment="1" applyBorder="1" applyFont="1" applyNumberFormat="1">
      <alignment horizontal="right" vertical="bottom"/>
    </xf>
    <xf borderId="9" fillId="18" fontId="25" numFmtId="0" xfId="0" applyAlignment="1" applyBorder="1" applyFont="1">
      <alignment horizontal="right" shrinkToFit="0" vertical="bottom" wrapText="1"/>
    </xf>
    <xf borderId="9" fillId="18" fontId="25" numFmtId="165" xfId="0" applyAlignment="1" applyBorder="1" applyFont="1" applyNumberFormat="1">
      <alignment horizontal="center" vertical="bottom"/>
    </xf>
    <xf borderId="0" fillId="0" fontId="1" numFmtId="1" xfId="0" applyAlignment="1" applyFont="1" applyNumberFormat="1">
      <alignment vertical="bottom"/>
    </xf>
    <xf borderId="1" fillId="0" fontId="23" numFmtId="164" xfId="0" applyAlignment="1" applyBorder="1" applyFont="1" applyNumberFormat="1">
      <alignment horizontal="center"/>
    </xf>
    <xf borderId="1" fillId="0" fontId="23" numFmtId="170" xfId="0" applyAlignment="1" applyBorder="1" applyFont="1" applyNumberFormat="1">
      <alignment horizontal="center" vertical="bottom"/>
    </xf>
    <xf borderId="1" fillId="0" fontId="23" numFmtId="165" xfId="0" applyAlignment="1" applyBorder="1" applyFont="1" applyNumberFormat="1">
      <alignment horizontal="center"/>
    </xf>
    <xf borderId="1" fillId="18" fontId="25" numFmtId="0" xfId="0" applyAlignment="1" applyBorder="1" applyFont="1">
      <alignment horizontal="right" shrinkToFit="0" wrapText="1"/>
    </xf>
    <xf borderId="1" fillId="18" fontId="25" numFmtId="165" xfId="0" applyAlignment="1" applyBorder="1" applyFont="1" applyNumberFormat="1">
      <alignment horizontal="center"/>
    </xf>
    <xf borderId="61" fillId="18" fontId="41" numFmtId="0" xfId="0" applyAlignment="1" applyBorder="1" applyFont="1">
      <alignment horizontal="right" vertical="bottom"/>
    </xf>
    <xf borderId="0" fillId="6" fontId="1" numFmtId="0" xfId="0" applyFont="1"/>
    <xf borderId="33" fillId="6" fontId="23" numFmtId="9" xfId="0" applyAlignment="1" applyBorder="1" applyFont="1" applyNumberFormat="1">
      <alignment horizontal="right"/>
    </xf>
    <xf borderId="33" fillId="18" fontId="37" numFmtId="1" xfId="0" applyAlignment="1" applyBorder="1" applyFont="1" applyNumberFormat="1">
      <alignment horizontal="center" shrinkToFit="0" wrapText="1"/>
    </xf>
    <xf borderId="0" fillId="0" fontId="1" numFmtId="0" xfId="0" applyAlignment="1" applyFont="1">
      <alignment horizontal="center" vertical="bottom"/>
    </xf>
    <xf borderId="1" fillId="6" fontId="1" numFmtId="3" xfId="0" applyAlignment="1" applyBorder="1" applyFont="1" applyNumberFormat="1">
      <alignment horizontal="center"/>
    </xf>
    <xf borderId="1" fillId="6" fontId="1" numFmtId="0" xfId="0" applyAlignment="1" applyBorder="1" applyFont="1">
      <alignment horizontal="center"/>
    </xf>
    <xf borderId="0" fillId="0" fontId="1" numFmtId="9" xfId="0" applyAlignment="1" applyFont="1" applyNumberFormat="1">
      <alignment horizontal="center"/>
    </xf>
    <xf borderId="33" fillId="10" fontId="34" numFmtId="0" xfId="0" applyAlignment="1" applyBorder="1" applyFont="1">
      <alignment horizontal="center"/>
    </xf>
    <xf borderId="33" fillId="6" fontId="23" numFmtId="1" xfId="0" applyAlignment="1" applyBorder="1" applyFont="1" applyNumberFormat="1">
      <alignment horizontal="center" vertical="bottom"/>
    </xf>
    <xf borderId="33" fillId="10" fontId="23" numFmtId="1" xfId="0" applyAlignment="1" applyBorder="1" applyFont="1" applyNumberFormat="1">
      <alignment horizontal="center" vertical="bottom"/>
    </xf>
    <xf borderId="33" fillId="10" fontId="23" numFmtId="1" xfId="0" applyAlignment="1" applyBorder="1" applyFont="1" applyNumberFormat="1">
      <alignment horizontal="center"/>
    </xf>
    <xf borderId="33" fillId="10" fontId="38" numFmtId="3" xfId="0" applyAlignment="1" applyBorder="1" applyFont="1" applyNumberFormat="1">
      <alignment horizontal="center"/>
    </xf>
    <xf borderId="33" fillId="10" fontId="37" numFmtId="2" xfId="0" applyAlignment="1" applyBorder="1" applyFont="1" applyNumberFormat="1">
      <alignment horizontal="center" shrinkToFit="0" wrapText="1"/>
    </xf>
    <xf borderId="1" fillId="0" fontId="23" numFmtId="3" xfId="0" applyAlignment="1" applyBorder="1" applyFont="1" applyNumberFormat="1">
      <alignment horizontal="center" vertical="bottom"/>
    </xf>
    <xf borderId="1" fillId="10" fontId="23" numFmtId="3" xfId="0" applyAlignment="1" applyBorder="1" applyFont="1" applyNumberFormat="1">
      <alignment horizontal="center" vertical="bottom"/>
    </xf>
    <xf borderId="1" fillId="10" fontId="1" numFmtId="0" xfId="0" applyBorder="1" applyFont="1"/>
    <xf borderId="1" fillId="10" fontId="23" numFmtId="0" xfId="0" applyAlignment="1" applyBorder="1" applyFont="1">
      <alignment horizontal="center"/>
    </xf>
    <xf borderId="1" fillId="10" fontId="23" numFmtId="0" xfId="0" applyAlignment="1" applyBorder="1" applyFont="1">
      <alignment horizontal="center" shrinkToFit="0" wrapText="1"/>
    </xf>
    <xf borderId="1" fillId="10" fontId="23" numFmtId="173" xfId="0" applyAlignment="1" applyBorder="1" applyFont="1" applyNumberFormat="1">
      <alignment horizontal="center" shrinkToFit="0" wrapText="1"/>
    </xf>
    <xf borderId="1" fillId="10" fontId="23" numFmtId="9" xfId="0" applyAlignment="1" applyBorder="1" applyFont="1" applyNumberFormat="1">
      <alignment horizontal="center"/>
    </xf>
    <xf borderId="4" fillId="10" fontId="23" numFmtId="9" xfId="0" applyAlignment="1" applyBorder="1" applyFont="1" applyNumberFormat="1">
      <alignment horizontal="center"/>
    </xf>
    <xf borderId="9" fillId="10" fontId="23" numFmtId="2" xfId="0" applyAlignment="1" applyBorder="1" applyFont="1" applyNumberFormat="1">
      <alignment horizontal="right" vertical="bottom"/>
    </xf>
    <xf borderId="9" fillId="10" fontId="23" numFmtId="170" xfId="0" applyAlignment="1" applyBorder="1" applyFont="1" applyNumberFormat="1">
      <alignment horizontal="right" vertical="bottom"/>
    </xf>
    <xf borderId="9" fillId="10" fontId="25" numFmtId="165" xfId="0" applyAlignment="1" applyBorder="1" applyFont="1" applyNumberFormat="1">
      <alignment horizontal="center" vertical="bottom"/>
    </xf>
    <xf borderId="1" fillId="10" fontId="23" numFmtId="164" xfId="0" applyAlignment="1" applyBorder="1" applyFont="1" applyNumberFormat="1">
      <alignment horizontal="center"/>
    </xf>
    <xf borderId="4" fillId="10" fontId="23" numFmtId="164" xfId="0" applyAlignment="1" applyBorder="1" applyFont="1" applyNumberFormat="1">
      <alignment horizontal="center"/>
    </xf>
    <xf borderId="1" fillId="10" fontId="23" numFmtId="165" xfId="0" applyAlignment="1" applyBorder="1" applyFont="1" applyNumberFormat="1">
      <alignment horizontal="center"/>
    </xf>
    <xf borderId="1" fillId="10" fontId="25" numFmtId="165" xfId="0" applyAlignment="1" applyBorder="1" applyFont="1" applyNumberFormat="1">
      <alignment horizontal="center"/>
    </xf>
    <xf borderId="40" fillId="17" fontId="34" numFmtId="0" xfId="0" applyAlignment="1" applyBorder="1" applyFont="1">
      <alignment horizontal="center" vertical="bottom"/>
    </xf>
    <xf borderId="40" fillId="17" fontId="23" numFmtId="0" xfId="0" applyAlignment="1" applyBorder="1" applyFont="1">
      <alignment horizontal="center" vertical="bottom"/>
    </xf>
    <xf borderId="40" fillId="17" fontId="1" numFmtId="172" xfId="0" applyAlignment="1" applyBorder="1" applyFont="1" applyNumberFormat="1">
      <alignment vertical="bottom"/>
    </xf>
    <xf borderId="40" fillId="17" fontId="1" numFmtId="0" xfId="0" applyAlignment="1" applyBorder="1" applyFont="1">
      <alignment vertical="bottom"/>
    </xf>
    <xf borderId="34" fillId="18" fontId="35" numFmtId="0" xfId="0" applyAlignment="1" applyBorder="1" applyFont="1">
      <alignment horizontal="center" vertical="bottom"/>
    </xf>
    <xf borderId="34" fillId="18" fontId="36" numFmtId="0" xfId="0" applyAlignment="1" applyBorder="1" applyFont="1">
      <alignment horizontal="center" vertical="bottom"/>
    </xf>
    <xf borderId="33" fillId="18" fontId="25" numFmtId="0" xfId="0" applyAlignment="1" applyBorder="1" applyFont="1">
      <alignment horizontal="center" vertical="bottom"/>
    </xf>
    <xf borderId="34" fillId="18" fontId="25" numFmtId="0" xfId="0" applyAlignment="1" applyBorder="1" applyFont="1">
      <alignment horizontal="center" vertical="bottom"/>
    </xf>
    <xf borderId="34" fillId="18" fontId="25" numFmtId="0" xfId="0" applyAlignment="1" applyBorder="1" applyFont="1">
      <alignment horizontal="center" shrinkToFit="0" vertical="bottom" wrapText="1"/>
    </xf>
    <xf borderId="33" fillId="17" fontId="34" numFmtId="0" xfId="0" applyAlignment="1" applyBorder="1" applyFont="1">
      <alignment horizontal="center" vertical="bottom"/>
    </xf>
    <xf borderId="33" fillId="10" fontId="34" numFmtId="0" xfId="0" applyAlignment="1" applyBorder="1" applyFont="1">
      <alignment horizontal="center" vertical="bottom"/>
    </xf>
    <xf borderId="33" fillId="0" fontId="23" numFmtId="0" xfId="0" applyAlignment="1" applyBorder="1" applyFont="1">
      <alignment horizontal="center" vertical="bottom"/>
    </xf>
    <xf borderId="33" fillId="0" fontId="1" numFmtId="0" xfId="0" applyAlignment="1" applyBorder="1" applyFont="1">
      <alignment shrinkToFit="0" vertical="bottom" wrapText="1"/>
    </xf>
    <xf borderId="33" fillId="0" fontId="34" numFmtId="165" xfId="0" applyAlignment="1" applyBorder="1" applyFont="1" applyNumberFormat="1">
      <alignment horizontal="center" vertical="bottom"/>
    </xf>
    <xf borderId="33" fillId="0" fontId="23" numFmtId="165" xfId="0" applyAlignment="1" applyBorder="1" applyFont="1" applyNumberFormat="1">
      <alignment horizontal="center" vertical="bottom"/>
    </xf>
    <xf borderId="33" fillId="0" fontId="23" numFmtId="165" xfId="0" applyAlignment="1" applyBorder="1" applyFont="1" applyNumberFormat="1">
      <alignment horizontal="right" vertical="bottom"/>
    </xf>
    <xf borderId="33" fillId="6" fontId="23" numFmtId="9" xfId="0" applyAlignment="1" applyBorder="1" applyFont="1" applyNumberFormat="1">
      <alignment horizontal="right" vertical="bottom"/>
    </xf>
    <xf borderId="33" fillId="0" fontId="1" numFmtId="0" xfId="0" applyAlignment="1" applyBorder="1" applyFont="1">
      <alignment vertical="bottom"/>
    </xf>
    <xf borderId="33" fillId="18" fontId="25" numFmtId="0" xfId="0" applyAlignment="1" applyBorder="1" applyFont="1">
      <alignment horizontal="center" shrinkToFit="0" vertical="bottom" wrapText="1"/>
    </xf>
    <xf borderId="33" fillId="18" fontId="38" numFmtId="3" xfId="0" applyAlignment="1" applyBorder="1" applyFont="1" applyNumberFormat="1">
      <alignment horizontal="center" vertical="bottom"/>
    </xf>
    <xf borderId="33" fillId="10" fontId="38" numFmtId="3" xfId="0" applyAlignment="1" applyBorder="1" applyFont="1" applyNumberFormat="1">
      <alignment horizontal="center" vertical="bottom"/>
    </xf>
    <xf borderId="33" fillId="18" fontId="25" numFmtId="165" xfId="0" applyAlignment="1" applyBorder="1" applyFont="1" applyNumberFormat="1">
      <alignment horizontal="center" vertical="bottom"/>
    </xf>
    <xf borderId="0" fillId="0" fontId="23" numFmtId="0" xfId="0" applyAlignment="1" applyFont="1">
      <alignment horizontal="center" vertical="bottom"/>
    </xf>
    <xf borderId="33" fillId="18" fontId="25" numFmtId="2" xfId="0" applyAlignment="1" applyBorder="1" applyFont="1" applyNumberFormat="1">
      <alignment horizontal="center" shrinkToFit="0" vertical="bottom" wrapText="1"/>
    </xf>
    <xf borderId="33" fillId="10" fontId="25" numFmtId="2" xfId="0" applyAlignment="1" applyBorder="1" applyFont="1" applyNumberFormat="1">
      <alignment horizontal="center" shrinkToFit="0" vertical="bottom" wrapText="1"/>
    </xf>
    <xf borderId="0" fillId="0" fontId="34" numFmtId="1" xfId="0" applyAlignment="1" applyFont="1" applyNumberFormat="1">
      <alignment horizontal="center" vertical="bottom"/>
    </xf>
    <xf borderId="0" fillId="6" fontId="1" numFmtId="1" xfId="0" applyAlignment="1" applyFont="1" applyNumberFormat="1">
      <alignment vertical="bottom"/>
    </xf>
    <xf borderId="0" fillId="0" fontId="39" numFmtId="1" xfId="0" applyAlignment="1" applyFont="1" applyNumberFormat="1">
      <alignment horizontal="center" vertical="bottom"/>
    </xf>
    <xf borderId="1" fillId="0" fontId="43" numFmtId="0" xfId="0" applyAlignment="1" applyBorder="1" applyFont="1">
      <alignment horizontal="center" shrinkToFit="0" vertical="bottom" wrapText="1"/>
    </xf>
    <xf borderId="1" fillId="10" fontId="1" numFmtId="3" xfId="0" applyAlignment="1" applyBorder="1" applyFont="1" applyNumberFormat="1">
      <alignment vertical="bottom"/>
    </xf>
    <xf borderId="1" fillId="10" fontId="1" numFmtId="0" xfId="0" applyAlignment="1" applyBorder="1" applyFont="1">
      <alignment vertical="bottom"/>
    </xf>
    <xf borderId="0" fillId="0" fontId="1" numFmtId="9" xfId="0" applyAlignment="1" applyFont="1" applyNumberFormat="1">
      <alignment vertical="bottom"/>
    </xf>
    <xf borderId="1" fillId="6" fontId="43" numFmtId="0" xfId="0" applyAlignment="1" applyBorder="1" applyFont="1">
      <alignment horizontal="center" shrinkToFit="0" vertical="bottom" wrapText="1"/>
    </xf>
    <xf borderId="1" fillId="0" fontId="23" numFmtId="0" xfId="0" applyAlignment="1" applyBorder="1" applyFont="1">
      <alignment horizontal="center" vertical="bottom"/>
    </xf>
    <xf borderId="1" fillId="10" fontId="23" numFmtId="0" xfId="0" applyAlignment="1" applyBorder="1" applyFont="1">
      <alignment horizontal="center" vertical="bottom"/>
    </xf>
    <xf borderId="1" fillId="0" fontId="1" numFmtId="0" xfId="0" applyAlignment="1" applyBorder="1" applyFont="1">
      <alignment vertical="bottom"/>
    </xf>
    <xf borderId="1" fillId="0" fontId="23" numFmtId="0" xfId="0" applyAlignment="1" applyBorder="1" applyFont="1">
      <alignment horizontal="center" shrinkToFit="0" vertical="bottom" wrapText="1"/>
    </xf>
    <xf borderId="1" fillId="10" fontId="23" numFmtId="0" xfId="0" applyAlignment="1" applyBorder="1" applyFont="1">
      <alignment horizontal="center" shrinkToFit="0" vertical="bottom" wrapText="1"/>
    </xf>
    <xf borderId="1" fillId="0" fontId="23" numFmtId="173" xfId="0" applyAlignment="1" applyBorder="1" applyFont="1" applyNumberFormat="1">
      <alignment horizontal="center" shrinkToFit="0" vertical="bottom" wrapText="1"/>
    </xf>
    <xf borderId="1" fillId="10" fontId="1" numFmtId="173" xfId="0" applyAlignment="1" applyBorder="1" applyFont="1" applyNumberFormat="1">
      <alignment vertical="bottom"/>
    </xf>
    <xf borderId="1" fillId="0" fontId="34" numFmtId="0" xfId="0" applyAlignment="1" applyBorder="1" applyFont="1">
      <alignment horizontal="right" shrinkToFit="0" vertical="bottom" wrapText="1"/>
    </xf>
    <xf borderId="1" fillId="0" fontId="23" numFmtId="9" xfId="0" applyAlignment="1" applyBorder="1" applyFont="1" applyNumberFormat="1">
      <alignment horizontal="center" vertical="bottom"/>
    </xf>
    <xf borderId="1" fillId="6" fontId="23" numFmtId="9" xfId="0" applyAlignment="1" applyBorder="1" applyFont="1" applyNumberFormat="1">
      <alignment horizontal="center" vertical="bottom"/>
    </xf>
    <xf borderId="1" fillId="10" fontId="23" numFmtId="9" xfId="0" applyAlignment="1" applyBorder="1" applyFont="1" applyNumberFormat="1">
      <alignment horizontal="center" vertical="bottom"/>
    </xf>
    <xf borderId="4" fillId="10" fontId="23" numFmtId="9" xfId="0" applyAlignment="1" applyBorder="1" applyFont="1" applyNumberFormat="1">
      <alignment horizontal="center" vertical="bottom"/>
    </xf>
    <xf borderId="1" fillId="0" fontId="23" numFmtId="164" xfId="0" applyAlignment="1" applyBorder="1" applyFont="1" applyNumberFormat="1">
      <alignment horizontal="center" vertical="bottom"/>
    </xf>
    <xf borderId="1" fillId="10" fontId="23" numFmtId="164" xfId="0" applyAlignment="1" applyBorder="1" applyFont="1" applyNumberFormat="1">
      <alignment horizontal="center" vertical="bottom"/>
    </xf>
    <xf borderId="4" fillId="10" fontId="23" numFmtId="164" xfId="0" applyAlignment="1" applyBorder="1" applyFont="1" applyNumberFormat="1">
      <alignment horizontal="center" vertical="bottom"/>
    </xf>
    <xf borderId="1" fillId="0" fontId="23" numFmtId="165" xfId="0" applyAlignment="1" applyBorder="1" applyFont="1" applyNumberFormat="1">
      <alignment horizontal="center" vertical="bottom"/>
    </xf>
    <xf borderId="1" fillId="10" fontId="23" numFmtId="165" xfId="0" applyAlignment="1" applyBorder="1" applyFont="1" applyNumberFormat="1">
      <alignment horizontal="center" vertical="bottom"/>
    </xf>
    <xf borderId="1" fillId="18" fontId="25" numFmtId="0" xfId="0" applyAlignment="1" applyBorder="1" applyFont="1">
      <alignment horizontal="right" shrinkToFit="0" vertical="bottom" wrapText="1"/>
    </xf>
    <xf borderId="1" fillId="18" fontId="25" numFmtId="165" xfId="0" applyAlignment="1" applyBorder="1" applyFont="1" applyNumberFormat="1">
      <alignment horizontal="center" vertical="bottom"/>
    </xf>
    <xf borderId="1" fillId="10" fontId="25" numFmtId="165" xfId="0" applyAlignment="1" applyBorder="1" applyFont="1" applyNumberFormat="1">
      <alignment horizontal="center" vertical="bottom"/>
    </xf>
    <xf borderId="1" fillId="6" fontId="1" numFmtId="3" xfId="0" applyAlignment="1" applyBorder="1" applyFont="1" applyNumberFormat="1">
      <alignment horizontal="right" vertical="bottom"/>
    </xf>
    <xf borderId="1" fillId="6" fontId="1" numFmtId="0" xfId="0" applyAlignment="1" applyBorder="1" applyFont="1">
      <alignment horizontal="right" vertical="bottom"/>
    </xf>
    <xf borderId="0" fillId="0" fontId="33" numFmtId="0" xfId="0" applyAlignment="1" applyFont="1">
      <alignment horizontal="center"/>
    </xf>
    <xf borderId="62" fillId="0" fontId="43" numFmtId="0" xfId="0" applyAlignment="1" applyBorder="1" applyFont="1">
      <alignment horizontal="center" vertical="center"/>
    </xf>
    <xf borderId="63" fillId="0" fontId="10" numFmtId="0" xfId="0" applyBorder="1" applyFont="1"/>
    <xf borderId="64" fillId="0" fontId="10" numFmtId="0" xfId="0" applyBorder="1" applyFont="1"/>
    <xf borderId="65" fillId="0" fontId="43" numFmtId="0" xfId="0" applyAlignment="1" applyBorder="1" applyFont="1">
      <alignment horizontal="center" vertical="center"/>
    </xf>
    <xf borderId="66" fillId="0" fontId="10" numFmtId="0" xfId="0" applyBorder="1" applyFont="1"/>
    <xf borderId="67" fillId="21" fontId="34" numFmtId="0" xfId="0" applyAlignment="1" applyBorder="1" applyFill="1" applyFont="1">
      <alignment horizontal="center" vertical="center"/>
    </xf>
    <xf borderId="68" fillId="0" fontId="10" numFmtId="0" xfId="0" applyBorder="1" applyFont="1"/>
    <xf borderId="14" fillId="0" fontId="10" numFmtId="0" xfId="0" applyBorder="1" applyFont="1"/>
    <xf borderId="69" fillId="21" fontId="23" numFmtId="0" xfId="0" applyAlignment="1" applyBorder="1" applyFont="1">
      <alignment horizontal="center" vertical="center"/>
    </xf>
    <xf borderId="69" fillId="21" fontId="23" numFmtId="172" xfId="0" applyAlignment="1" applyBorder="1" applyFont="1" applyNumberFormat="1">
      <alignment horizontal="center" shrinkToFit="0" vertical="center" wrapText="1"/>
    </xf>
    <xf borderId="69" fillId="21" fontId="44" numFmtId="0" xfId="0" applyAlignment="1" applyBorder="1" applyFont="1">
      <alignment horizontal="center" vertical="center"/>
    </xf>
    <xf borderId="70" fillId="0" fontId="10" numFmtId="0" xfId="0" applyBorder="1" applyFont="1"/>
    <xf borderId="71" fillId="0" fontId="10" numFmtId="0" xfId="0" applyBorder="1" applyFont="1"/>
    <xf borderId="72" fillId="0" fontId="10" numFmtId="0" xfId="0" applyBorder="1" applyFont="1"/>
    <xf borderId="73" fillId="0" fontId="10" numFmtId="0" xfId="0" applyBorder="1" applyFont="1"/>
    <xf borderId="74" fillId="0" fontId="10" numFmtId="0" xfId="0" applyBorder="1" applyFont="1"/>
    <xf borderId="75" fillId="0" fontId="10" numFmtId="0" xfId="0" applyBorder="1" applyFont="1"/>
    <xf borderId="0" fillId="0" fontId="23" numFmtId="0" xfId="0" applyAlignment="1" applyFont="1">
      <alignment horizontal="center" vertical="center"/>
    </xf>
    <xf borderId="0" fillId="0" fontId="44" numFmtId="0" xfId="0" applyAlignment="1" applyFont="1">
      <alignment horizontal="center" vertical="center"/>
    </xf>
    <xf borderId="76" fillId="21" fontId="20" numFmtId="0" xfId="0" applyAlignment="1" applyBorder="1" applyFont="1">
      <alignment horizontal="center" vertical="center"/>
    </xf>
    <xf borderId="77" fillId="21" fontId="45" numFmtId="0" xfId="0" applyAlignment="1" applyBorder="1" applyFont="1">
      <alignment horizontal="center" vertical="center"/>
    </xf>
    <xf borderId="65" fillId="21" fontId="34" numFmtId="0" xfId="0" applyAlignment="1" applyBorder="1" applyFont="1">
      <alignment horizontal="center"/>
    </xf>
    <xf borderId="27" fillId="21" fontId="34" numFmtId="0" xfId="0" applyAlignment="1" applyBorder="1" applyFont="1">
      <alignment horizontal="center" vertical="center"/>
    </xf>
    <xf borderId="0" fillId="0" fontId="23" numFmtId="0" xfId="0" applyAlignment="1" applyFont="1">
      <alignment vertical="center"/>
    </xf>
    <xf borderId="76" fillId="21" fontId="43" numFmtId="0" xfId="0" applyAlignment="1" applyBorder="1" applyFont="1">
      <alignment horizontal="center" vertical="center"/>
    </xf>
    <xf borderId="77" fillId="21" fontId="43" numFmtId="0" xfId="0" applyAlignment="1" applyBorder="1" applyFont="1">
      <alignment horizontal="center" vertical="center"/>
    </xf>
    <xf borderId="78" fillId="21" fontId="43" numFmtId="0" xfId="0" applyAlignment="1" applyBorder="1" applyFont="1">
      <alignment horizontal="center" shrinkToFit="0" vertical="center" wrapText="1"/>
    </xf>
    <xf borderId="79" fillId="21" fontId="43" numFmtId="0" xfId="0" applyAlignment="1" applyBorder="1" applyFont="1">
      <alignment horizontal="center" shrinkToFit="0" vertical="center" wrapText="1"/>
    </xf>
    <xf borderId="80" fillId="21" fontId="43" numFmtId="0" xfId="0" applyAlignment="1" applyBorder="1" applyFont="1">
      <alignment horizontal="center" shrinkToFit="0" vertical="center" wrapText="1"/>
    </xf>
    <xf borderId="81" fillId="0" fontId="10" numFmtId="0" xfId="0" applyBorder="1" applyFont="1"/>
    <xf borderId="1" fillId="21" fontId="34" numFmtId="0" xfId="0" applyAlignment="1" applyBorder="1" applyFont="1">
      <alignment horizontal="center" vertical="center"/>
    </xf>
    <xf borderId="29" fillId="21" fontId="34" numFmtId="0" xfId="0" applyAlignment="1" applyBorder="1" applyFont="1">
      <alignment horizontal="center" vertical="center"/>
    </xf>
    <xf borderId="82" fillId="0" fontId="10" numFmtId="0" xfId="0" applyBorder="1" applyFont="1"/>
    <xf borderId="83" fillId="0" fontId="10" numFmtId="0" xfId="0" applyBorder="1" applyFont="1"/>
    <xf borderId="84" fillId="0" fontId="10" numFmtId="0" xfId="0" applyBorder="1" applyFont="1"/>
    <xf borderId="0" fillId="0" fontId="46" numFmtId="0" xfId="0" applyAlignment="1" applyFont="1">
      <alignment vertical="center"/>
    </xf>
    <xf borderId="28" fillId="0" fontId="23" numFmtId="0" xfId="0" applyAlignment="1" applyBorder="1" applyFont="1">
      <alignment horizontal="center" vertical="center"/>
    </xf>
    <xf borderId="1" fillId="0" fontId="1" numFmtId="0" xfId="0" applyAlignment="1" applyBorder="1" applyFont="1">
      <alignment shrinkToFit="0" vertical="center" wrapText="1"/>
    </xf>
    <xf borderId="1" fillId="0" fontId="23" numFmtId="165" xfId="0" applyAlignment="1" applyBorder="1" applyFont="1" applyNumberFormat="1">
      <alignment horizontal="center" vertical="center"/>
    </xf>
    <xf borderId="29" fillId="0" fontId="34" numFmtId="165" xfId="0" applyAlignment="1" applyBorder="1" applyFont="1" applyNumberFormat="1">
      <alignment horizontal="center" vertical="center"/>
    </xf>
    <xf borderId="85" fillId="0" fontId="23" numFmtId="165" xfId="0" applyAlignment="1" applyBorder="1" applyFont="1" applyNumberFormat="1">
      <alignment horizontal="center" vertical="center"/>
    </xf>
    <xf borderId="86" fillId="0" fontId="23" numFmtId="165" xfId="0" applyAlignment="1" applyBorder="1" applyFont="1" applyNumberFormat="1">
      <alignment vertical="center"/>
    </xf>
    <xf borderId="87" fillId="0" fontId="23" numFmtId="9" xfId="0" applyAlignment="1" applyBorder="1" applyFont="1" applyNumberFormat="1">
      <alignment vertical="center"/>
    </xf>
    <xf borderId="88" fillId="0" fontId="46" numFmtId="0" xfId="0" applyAlignment="1" applyBorder="1" applyFont="1">
      <alignment horizontal="center" shrinkToFit="0" vertical="center" wrapText="1"/>
    </xf>
    <xf borderId="88" fillId="0" fontId="46" numFmtId="0" xfId="0" applyAlignment="1" applyBorder="1" applyFont="1">
      <alignment shrinkToFit="0" vertical="center" wrapText="1"/>
    </xf>
    <xf borderId="30" fillId="21" fontId="23" numFmtId="0" xfId="0" applyBorder="1" applyFont="1"/>
    <xf borderId="31" fillId="21" fontId="18" numFmtId="0" xfId="0" applyAlignment="1" applyBorder="1" applyFont="1">
      <alignment horizontal="center" shrinkToFit="0" vertical="center" wrapText="1"/>
    </xf>
    <xf borderId="31" fillId="21" fontId="34" numFmtId="165" xfId="0" applyAlignment="1" applyBorder="1" applyFont="1" applyNumberFormat="1">
      <alignment horizontal="center" vertical="center"/>
    </xf>
    <xf borderId="32" fillId="21" fontId="34" numFmtId="165" xfId="0" applyAlignment="1" applyBorder="1" applyFont="1" applyNumberFormat="1">
      <alignment horizontal="center" vertical="center"/>
    </xf>
    <xf borderId="89" fillId="21" fontId="34" numFmtId="165" xfId="0" applyAlignment="1" applyBorder="1" applyFont="1" applyNumberFormat="1">
      <alignment horizontal="center" vertical="center"/>
    </xf>
    <xf borderId="90" fillId="21" fontId="34" numFmtId="165" xfId="0" applyBorder="1" applyFont="1" applyNumberFormat="1"/>
    <xf borderId="91" fillId="21" fontId="34" numFmtId="9" xfId="0" applyBorder="1" applyFont="1" applyNumberFormat="1"/>
    <xf borderId="0" fillId="0" fontId="18" numFmtId="0" xfId="0" applyAlignment="1" applyFont="1">
      <alignment horizontal="center" shrinkToFit="0" vertical="center" wrapText="1"/>
    </xf>
    <xf borderId="0" fillId="0" fontId="23" numFmtId="1" xfId="0" applyAlignment="1" applyFont="1" applyNumberFormat="1">
      <alignment horizontal="center" vertical="center"/>
    </xf>
    <xf borderId="0" fillId="0" fontId="34" numFmtId="1" xfId="0" applyAlignment="1" applyFont="1" applyNumberFormat="1">
      <alignment horizontal="center" vertical="center"/>
    </xf>
    <xf borderId="0" fillId="0" fontId="39" numFmtId="1" xfId="0" applyAlignment="1" applyFont="1" applyNumberFormat="1">
      <alignment horizontal="center" vertical="center"/>
    </xf>
    <xf borderId="1" fillId="0" fontId="47" numFmtId="0" xfId="0" applyAlignment="1" applyBorder="1" applyFont="1">
      <alignment horizontal="center" shrinkToFit="0" vertical="center" wrapText="1"/>
    </xf>
    <xf borderId="1" fillId="0" fontId="48" numFmtId="1" xfId="0" applyAlignment="1" applyBorder="1" applyFont="1" applyNumberFormat="1">
      <alignment horizontal="center" vertical="center"/>
    </xf>
    <xf borderId="0" fillId="0" fontId="34" numFmtId="0" xfId="0" applyAlignment="1" applyFont="1">
      <alignment horizontal="center" vertical="center"/>
    </xf>
    <xf borderId="0" fillId="0" fontId="23" numFmtId="9" xfId="0" applyAlignment="1" applyFont="1" applyNumberFormat="1">
      <alignment horizontal="center" vertical="center"/>
    </xf>
    <xf borderId="1" fillId="0" fontId="23" numFmtId="0" xfId="0" applyAlignment="1" applyBorder="1" applyFont="1">
      <alignment horizontal="center" vertical="center"/>
    </xf>
    <xf borderId="1" fillId="22" fontId="23" numFmtId="0" xfId="0" applyAlignment="1" applyBorder="1" applyFill="1" applyFont="1">
      <alignment horizontal="center" vertical="center"/>
    </xf>
    <xf borderId="1" fillId="5" fontId="47" numFmtId="0" xfId="0" applyAlignment="1" applyBorder="1" applyFont="1">
      <alignment horizontal="center" shrinkToFit="0" vertical="center" wrapText="1"/>
    </xf>
    <xf borderId="1" fillId="0" fontId="48" numFmtId="0" xfId="0" applyAlignment="1" applyBorder="1" applyFont="1">
      <alignment horizontal="center" vertical="center"/>
    </xf>
    <xf borderId="1" fillId="0" fontId="23" numFmtId="0" xfId="0" applyAlignment="1" applyBorder="1" applyFont="1">
      <alignment horizontal="center" shrinkToFit="0" vertical="center" wrapText="1"/>
    </xf>
    <xf borderId="1" fillId="0" fontId="46" numFmtId="0" xfId="0" applyAlignment="1" applyBorder="1" applyFont="1">
      <alignment horizontal="center" shrinkToFit="0" vertical="center" wrapText="1"/>
    </xf>
    <xf borderId="1" fillId="0" fontId="46" numFmtId="0" xfId="0" applyAlignment="1" applyBorder="1" applyFont="1">
      <alignment horizontal="center" vertical="center"/>
    </xf>
    <xf borderId="1" fillId="22" fontId="46" numFmtId="0" xfId="0" applyAlignment="1" applyBorder="1" applyFont="1">
      <alignment horizontal="center" shrinkToFit="0" vertical="center" wrapText="1"/>
    </xf>
    <xf borderId="1" fillId="22" fontId="46" numFmtId="0" xfId="0" applyAlignment="1" applyBorder="1" applyFont="1">
      <alignment horizontal="center" vertical="center"/>
    </xf>
    <xf borderId="1" fillId="22" fontId="23" numFmtId="0" xfId="0" applyAlignment="1" applyBorder="1" applyFont="1">
      <alignment horizontal="center" shrinkToFit="0" vertical="center" wrapText="1"/>
    </xf>
    <xf borderId="0" fillId="0" fontId="42" numFmtId="0" xfId="0" applyFont="1"/>
    <xf borderId="61" fillId="5" fontId="42" numFmtId="0" xfId="0" applyAlignment="1" applyBorder="1" applyFont="1">
      <alignment horizontal="right"/>
    </xf>
    <xf borderId="0" fillId="0" fontId="42" numFmtId="0" xfId="0" applyAlignment="1" applyFont="1">
      <alignment horizontal="center"/>
    </xf>
    <xf borderId="0" fillId="0" fontId="49" numFmtId="0" xfId="0" applyAlignment="1" applyFont="1">
      <alignment horizontal="center" vertical="center"/>
    </xf>
    <xf borderId="0" fillId="0" fontId="49" numFmtId="0" xfId="0" applyFont="1"/>
    <xf borderId="1" fillId="0" fontId="34" numFmtId="0" xfId="0" applyAlignment="1" applyBorder="1" applyFont="1">
      <alignment horizontal="right" shrinkToFit="0" vertical="center" wrapText="1"/>
    </xf>
    <xf borderId="1" fillId="0" fontId="23" numFmtId="9" xfId="0" applyAlignment="1" applyBorder="1" applyFont="1" applyNumberFormat="1">
      <alignment horizontal="center" vertical="center"/>
    </xf>
    <xf borderId="0" fillId="0" fontId="50" numFmtId="0" xfId="0" applyFont="1"/>
    <xf borderId="0" fillId="0" fontId="50" numFmtId="0" xfId="0" applyAlignment="1" applyFont="1">
      <alignment horizontal="center" vertical="center"/>
    </xf>
    <xf borderId="1" fillId="0" fontId="23" numFmtId="164" xfId="0" applyAlignment="1" applyBorder="1" applyFont="1" applyNumberFormat="1">
      <alignment horizontal="center" vertical="center"/>
    </xf>
    <xf borderId="0" fillId="0" fontId="50" numFmtId="0" xfId="0" applyAlignment="1" applyFont="1">
      <alignment horizontal="right"/>
    </xf>
    <xf borderId="0" fillId="0" fontId="51" numFmtId="0" xfId="0" applyFont="1"/>
    <xf borderId="1" fillId="21" fontId="34" numFmtId="0" xfId="0" applyAlignment="1" applyBorder="1" applyFont="1">
      <alignment horizontal="right" shrinkToFit="0" vertical="center" wrapText="1"/>
    </xf>
    <xf borderId="1" fillId="21" fontId="34" numFmtId="165" xfId="0" applyAlignment="1" applyBorder="1" applyFont="1" applyNumberFormat="1">
      <alignment horizontal="center" vertical="center"/>
    </xf>
    <xf borderId="1" fillId="5" fontId="34" numFmtId="165" xfId="0" applyAlignment="1" applyBorder="1" applyFont="1" applyNumberFormat="1">
      <alignment horizontal="center" vertical="center"/>
    </xf>
    <xf borderId="0" fillId="0" fontId="51" numFmtId="0" xfId="0" applyAlignment="1" applyFont="1">
      <alignment horizontal="center"/>
    </xf>
    <xf borderId="61" fillId="21" fontId="42" numFmtId="0" xfId="0" applyAlignment="1" applyBorder="1" applyFont="1">
      <alignment horizontal="right"/>
    </xf>
    <xf borderId="88" fillId="0" fontId="46" numFmtId="0" xfId="0" applyAlignment="1" applyBorder="1" applyFont="1">
      <alignment horizontal="center" vertical="center"/>
    </xf>
    <xf borderId="0" fillId="0" fontId="23" numFmtId="2" xfId="0" applyAlignment="1" applyFont="1" applyNumberFormat="1">
      <alignment horizontal="center" vertical="center"/>
    </xf>
    <xf borderId="0" fillId="0" fontId="47"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48" numFmtId="0" xfId="0" applyAlignment="1" applyFont="1">
      <alignment horizontal="center" vertical="center"/>
    </xf>
    <xf borderId="61" fillId="22" fontId="23" numFmtId="0" xfId="0" applyAlignment="1" applyBorder="1" applyFont="1">
      <alignment horizontal="center" shrinkToFit="0" vertical="center" wrapText="1"/>
    </xf>
    <xf borderId="69" fillId="21" fontId="23" numFmtId="172" xfId="0" applyAlignment="1" applyBorder="1" applyFont="1" applyNumberFormat="1">
      <alignment horizontal="center" vertical="center"/>
    </xf>
    <xf borderId="92" fillId="21" fontId="43" numFmtId="0" xfId="0" applyAlignment="1" applyBorder="1" applyFont="1">
      <alignment horizontal="center" vertical="center"/>
    </xf>
    <xf borderId="93" fillId="0" fontId="10" numFmtId="0" xfId="0" applyBorder="1" applyFont="1"/>
    <xf borderId="25" fillId="0" fontId="23" numFmtId="165" xfId="0" applyAlignment="1" applyBorder="1" applyFont="1" applyNumberFormat="1">
      <alignment horizontal="center" vertical="center"/>
    </xf>
    <xf borderId="26" fillId="0" fontId="23" numFmtId="165" xfId="0" applyAlignment="1" applyBorder="1" applyFont="1" applyNumberFormat="1">
      <alignment vertical="center"/>
    </xf>
    <xf borderId="27" fillId="23" fontId="23" numFmtId="9" xfId="0" applyAlignment="1" applyBorder="1" applyFill="1" applyFont="1" applyNumberFormat="1">
      <alignment vertical="center"/>
    </xf>
    <xf borderId="94" fillId="0" fontId="46" numFmtId="0" xfId="0" applyAlignment="1" applyBorder="1" applyFont="1">
      <alignment horizontal="center" shrinkToFit="0" vertical="center" wrapText="1"/>
    </xf>
    <xf borderId="95" fillId="0" fontId="46" numFmtId="0" xfId="0" applyAlignment="1" applyBorder="1" applyFont="1">
      <alignment horizontal="center" shrinkToFit="0" vertical="center" wrapText="1"/>
    </xf>
    <xf borderId="1" fillId="0" fontId="1" numFmtId="0" xfId="0" applyAlignment="1" applyBorder="1" applyFont="1">
      <alignment vertical="center"/>
    </xf>
    <xf borderId="30" fillId="0" fontId="23" numFmtId="165" xfId="0" applyAlignment="1" applyBorder="1" applyFont="1" applyNumberFormat="1">
      <alignment horizontal="center" vertical="center"/>
    </xf>
    <xf borderId="31" fillId="0" fontId="23" numFmtId="165" xfId="0" applyAlignment="1" applyBorder="1" applyFont="1" applyNumberFormat="1">
      <alignment vertical="center"/>
    </xf>
    <xf borderId="32" fillId="23" fontId="23" numFmtId="9" xfId="0" applyAlignment="1" applyBorder="1" applyFont="1" applyNumberFormat="1">
      <alignment vertical="center"/>
    </xf>
    <xf borderId="96" fillId="0" fontId="46" numFmtId="0" xfId="0" applyAlignment="1" applyBorder="1" applyFont="1">
      <alignment horizontal="center" shrinkToFit="0" vertical="center" wrapText="1"/>
    </xf>
    <xf borderId="97" fillId="0" fontId="46" numFmtId="0" xfId="0" applyAlignment="1" applyBorder="1" applyFont="1">
      <alignment horizontal="center" shrinkToFit="0" vertical="center" wrapText="1"/>
    </xf>
    <xf borderId="1" fillId="0" fontId="23" numFmtId="1" xfId="0" applyAlignment="1" applyBorder="1" applyFont="1" applyNumberFormat="1">
      <alignment horizontal="center" vertical="center"/>
    </xf>
    <xf borderId="3" fillId="0" fontId="47" numFmtId="0" xfId="0" applyAlignment="1" applyBorder="1" applyFont="1">
      <alignment horizontal="center" shrinkToFit="0" vertical="center" wrapText="1"/>
    </xf>
    <xf borderId="3" fillId="0" fontId="23" numFmtId="0" xfId="0" applyAlignment="1" applyBorder="1" applyFont="1">
      <alignment horizontal="center" vertical="center"/>
    </xf>
    <xf borderId="11" fillId="0" fontId="47" numFmtId="0" xfId="0" applyAlignment="1" applyBorder="1" applyFont="1">
      <alignment horizontal="center" shrinkToFit="0" vertical="center" wrapText="1"/>
    </xf>
    <xf borderId="11" fillId="0" fontId="46" numFmtId="0" xfId="0" applyAlignment="1" applyBorder="1" applyFont="1">
      <alignment horizontal="center" vertical="center"/>
    </xf>
    <xf borderId="11" fillId="0" fontId="46" numFmtId="0" xfId="0" applyAlignment="1" applyBorder="1" applyFont="1">
      <alignment horizontal="center" shrinkToFit="0" vertical="center" wrapText="1"/>
    </xf>
    <xf borderId="98" fillId="0" fontId="47" numFmtId="0" xfId="0" applyAlignment="1" applyBorder="1" applyFont="1">
      <alignment horizontal="center" shrinkToFit="0" vertical="center" wrapText="1"/>
    </xf>
    <xf borderId="98" fillId="0" fontId="23" numFmtId="0" xfId="0" applyAlignment="1" applyBorder="1" applyFont="1">
      <alignment horizontal="center" vertical="center"/>
    </xf>
    <xf borderId="99" fillId="0" fontId="23" numFmtId="0" xfId="0" applyAlignment="1" applyBorder="1" applyFont="1">
      <alignment horizontal="center" vertical="center"/>
    </xf>
    <xf borderId="1" fillId="21" fontId="34" numFmtId="1" xfId="0" applyAlignment="1" applyBorder="1" applyFont="1" applyNumberFormat="1">
      <alignment horizontal="center" vertical="center"/>
    </xf>
    <xf borderId="0" fillId="22" fontId="34" numFmtId="0" xfId="0" applyAlignment="1" applyFont="1">
      <alignment horizontal="right" shrinkToFit="0" vertical="center" wrapText="1"/>
    </xf>
    <xf borderId="0" fillId="22" fontId="34" numFmtId="1" xfId="0" applyAlignment="1" applyFont="1" applyNumberFormat="1">
      <alignment horizontal="center" vertical="center"/>
    </xf>
    <xf borderId="0" fillId="22" fontId="34" numFmtId="165" xfId="0" applyAlignment="1" applyFont="1" applyNumberFormat="1">
      <alignment horizontal="center" vertical="center"/>
    </xf>
    <xf borderId="1" fillId="10" fontId="23" numFmtId="165" xfId="0" applyAlignment="1" applyBorder="1" applyFont="1" applyNumberFormat="1">
      <alignment horizontal="center" vertical="center"/>
    </xf>
    <xf borderId="31" fillId="10" fontId="34" numFmtId="165" xfId="0" applyAlignment="1" applyBorder="1" applyFont="1" applyNumberFormat="1">
      <alignment horizontal="center" vertical="center"/>
    </xf>
    <xf borderId="0" fillId="10" fontId="23" numFmtId="1" xfId="0" applyAlignment="1" applyFont="1" applyNumberFormat="1">
      <alignment horizontal="center" vertical="center"/>
    </xf>
    <xf borderId="1" fillId="6" fontId="48" numFmtId="0" xfId="0" applyAlignment="1" applyBorder="1" applyFont="1">
      <alignment horizontal="center"/>
    </xf>
    <xf borderId="1" fillId="10" fontId="23" numFmtId="0" xfId="0" applyAlignment="1" applyBorder="1" applyFont="1">
      <alignment horizontal="center" vertical="center"/>
    </xf>
    <xf borderId="1" fillId="10" fontId="23" numFmtId="1" xfId="0" applyAlignment="1" applyBorder="1" applyFont="1" applyNumberFormat="1">
      <alignment horizontal="center" vertical="center"/>
    </xf>
    <xf borderId="3" fillId="10" fontId="23" numFmtId="0" xfId="0" applyAlignment="1" applyBorder="1" applyFont="1">
      <alignment horizontal="center" vertical="center"/>
    </xf>
    <xf borderId="1" fillId="10" fontId="46" numFmtId="0" xfId="0" applyAlignment="1" applyBorder="1" applyFont="1">
      <alignment horizontal="center" shrinkToFit="0" vertical="center" wrapText="1"/>
    </xf>
    <xf borderId="17" fillId="0" fontId="47" numFmtId="0" xfId="0" applyAlignment="1" applyBorder="1" applyFont="1">
      <alignment horizontal="center" shrinkToFit="0" vertical="center" wrapText="1"/>
    </xf>
    <xf borderId="17" fillId="0" fontId="46" numFmtId="0" xfId="0" applyAlignment="1" applyBorder="1" applyFont="1">
      <alignment horizontal="center" vertical="center"/>
    </xf>
    <xf borderId="11" fillId="10" fontId="46" numFmtId="0" xfId="0" applyAlignment="1" applyBorder="1" applyFont="1">
      <alignment horizontal="center" shrinkToFit="0" vertical="center" wrapText="1"/>
    </xf>
    <xf borderId="98" fillId="10" fontId="23" numFmtId="0" xfId="0" applyAlignment="1" applyBorder="1" applyFont="1">
      <alignment horizontal="center" vertical="center"/>
    </xf>
    <xf borderId="0" fillId="10" fontId="23" numFmtId="0" xfId="0" applyAlignment="1" applyFont="1">
      <alignment horizontal="center" vertical="center"/>
    </xf>
    <xf borderId="99" fillId="10" fontId="23" numFmtId="0" xfId="0" applyAlignment="1" applyBorder="1" applyFont="1">
      <alignment horizontal="center" vertical="center"/>
    </xf>
    <xf borderId="0" fillId="10" fontId="42" numFmtId="0" xfId="0" applyFont="1"/>
    <xf borderId="1" fillId="10" fontId="23" numFmtId="9" xfId="0" applyAlignment="1" applyBorder="1" applyFont="1" applyNumberFormat="1">
      <alignment horizontal="center" vertical="center"/>
    </xf>
    <xf borderId="1" fillId="10" fontId="23" numFmtId="164" xfId="0" applyAlignment="1" applyBorder="1" applyFont="1" applyNumberFormat="1">
      <alignment horizontal="center" vertical="center"/>
    </xf>
    <xf borderId="1" fillId="10" fontId="34" numFmtId="1" xfId="0" applyAlignment="1" applyBorder="1" applyFont="1" applyNumberFormat="1">
      <alignment horizontal="center" vertical="center"/>
    </xf>
    <xf borderId="1" fillId="5" fontId="34" numFmtId="170" xfId="0" applyAlignment="1" applyBorder="1" applyFont="1" applyNumberFormat="1">
      <alignment horizontal="center" vertical="center"/>
    </xf>
    <xf borderId="76" fillId="0" fontId="43" numFmtId="0" xfId="0" applyAlignment="1" applyBorder="1" applyFont="1">
      <alignment horizontal="center" vertical="center"/>
    </xf>
    <xf borderId="77" fillId="0" fontId="43" numFmtId="0" xfId="0" applyAlignment="1" applyBorder="1" applyFont="1">
      <alignment horizontal="center" vertical="center"/>
    </xf>
    <xf borderId="78" fillId="0" fontId="43" numFmtId="0" xfId="0" applyAlignment="1" applyBorder="1" applyFont="1">
      <alignment horizontal="center" shrinkToFit="0" vertical="center" wrapText="1"/>
    </xf>
    <xf borderId="79" fillId="0" fontId="43" numFmtId="0" xfId="0" applyAlignment="1" applyBorder="1" applyFont="1">
      <alignment horizontal="center" shrinkToFit="0" vertical="center" wrapText="1"/>
    </xf>
    <xf borderId="80" fillId="0" fontId="43" numFmtId="0" xfId="0" applyAlignment="1" applyBorder="1" applyFont="1">
      <alignment horizontal="center" shrinkToFit="0" vertical="center" wrapText="1"/>
    </xf>
    <xf borderId="1" fillId="22" fontId="23" numFmtId="165" xfId="0" applyAlignment="1" applyBorder="1" applyFont="1" applyNumberFormat="1">
      <alignment horizontal="center" vertical="center"/>
    </xf>
    <xf borderId="28" fillId="0" fontId="23" numFmtId="165" xfId="0" applyAlignment="1" applyBorder="1" applyFont="1" applyNumberFormat="1">
      <alignment horizontal="center" vertical="center"/>
    </xf>
    <xf borderId="4" fillId="0" fontId="23" numFmtId="165" xfId="0" applyAlignment="1" applyBorder="1" applyFont="1" applyNumberFormat="1">
      <alignment vertical="center"/>
    </xf>
    <xf borderId="100" fillId="0" fontId="23" numFmtId="9" xfId="0" applyAlignment="1" applyBorder="1" applyFont="1" applyNumberFormat="1">
      <alignment vertical="center"/>
    </xf>
    <xf borderId="101" fillId="0" fontId="46" numFmtId="0" xfId="0" applyAlignment="1" applyBorder="1" applyFont="1">
      <alignment horizontal="center" shrinkToFit="0" vertical="center" wrapText="1"/>
    </xf>
    <xf borderId="88" fillId="0" fontId="46" numFmtId="0" xfId="0" applyAlignment="1" applyBorder="1" applyFont="1">
      <alignment vertical="center"/>
    </xf>
    <xf borderId="102" fillId="23" fontId="23" numFmtId="9" xfId="0" applyAlignment="1" applyBorder="1" applyFont="1" applyNumberFormat="1">
      <alignment vertical="center"/>
    </xf>
    <xf borderId="31" fillId="21" fontId="23" numFmtId="165" xfId="0" applyAlignment="1" applyBorder="1" applyFont="1" applyNumberFormat="1">
      <alignment horizontal="center" vertical="center"/>
    </xf>
    <xf borderId="30" fillId="0" fontId="34" numFmtId="165" xfId="0" applyAlignment="1" applyBorder="1" applyFont="1" applyNumberFormat="1">
      <alignment horizontal="center" vertical="center"/>
    </xf>
    <xf borderId="31" fillId="0" fontId="34" numFmtId="165" xfId="0" applyBorder="1" applyFont="1" applyNumberFormat="1"/>
    <xf borderId="91" fillId="0" fontId="23" numFmtId="0" xfId="0" applyBorder="1" applyFont="1"/>
    <xf borderId="0" fillId="0" fontId="52" numFmtId="0" xfId="0" applyFont="1"/>
    <xf borderId="1" fillId="0" fontId="23" numFmtId="2" xfId="0" applyAlignment="1" applyBorder="1" applyFont="1" applyNumberFormat="1">
      <alignment horizontal="center" vertical="center"/>
    </xf>
    <xf borderId="0" fillId="0" fontId="34" numFmtId="0" xfId="0" applyAlignment="1" applyFont="1">
      <alignment horizontal="right" shrinkToFit="0" vertical="center" wrapText="1"/>
    </xf>
    <xf borderId="103" fillId="0" fontId="43" numFmtId="0" xfId="0" applyAlignment="1" applyBorder="1" applyFont="1">
      <alignment horizontal="center" shrinkToFit="0" vertical="center" wrapText="1"/>
    </xf>
    <xf borderId="16" fillId="0" fontId="10" numFmtId="0" xfId="0" applyBorder="1" applyFont="1"/>
    <xf borderId="104" fillId="0" fontId="23" numFmtId="9" xfId="0" applyAlignment="1" applyBorder="1" applyFont="1" applyNumberFormat="1">
      <alignment vertical="center"/>
    </xf>
    <xf borderId="105" fillId="0" fontId="46" numFmtId="0" xfId="0" applyAlignment="1" applyBorder="1" applyFont="1">
      <alignment horizontal="center" shrinkToFit="0" vertical="center" wrapText="1"/>
    </xf>
    <xf borderId="106" fillId="0" fontId="46" numFmtId="0" xfId="0" applyAlignment="1" applyBorder="1" applyFont="1">
      <alignment vertical="center"/>
    </xf>
    <xf borderId="107" fillId="23" fontId="23" numFmtId="9" xfId="0" applyAlignment="1" applyBorder="1" applyFont="1" applyNumberFormat="1">
      <alignment vertical="center"/>
    </xf>
    <xf borderId="108" fillId="0" fontId="23" numFmtId="0" xfId="0" applyAlignment="1" applyBorder="1" applyFont="1">
      <alignment vertical="center"/>
    </xf>
    <xf borderId="1" fillId="0" fontId="23" numFmtId="0" xfId="0" applyAlignment="1" applyBorder="1" applyFont="1">
      <alignment horizontal="left" shrinkToFit="0" vertical="center" wrapText="1"/>
    </xf>
    <xf borderId="1" fillId="22" fontId="23" numFmtId="20" xfId="0" applyAlignment="1" applyBorder="1" applyFont="1" applyNumberFormat="1">
      <alignment horizontal="center" shrinkToFit="0" vertical="center" wrapText="1"/>
    </xf>
    <xf borderId="92" fillId="0" fontId="43" numFmtId="0" xfId="0" applyAlignment="1" applyBorder="1" applyFont="1">
      <alignment horizontal="center" vertical="center"/>
    </xf>
    <xf borderId="1" fillId="0" fontId="23" numFmtId="165" xfId="0" applyAlignment="1" applyBorder="1" applyFont="1" applyNumberFormat="1">
      <alignment vertical="center"/>
    </xf>
    <xf borderId="29" fillId="23" fontId="23" numFmtId="9" xfId="0" applyAlignment="1" applyBorder="1" applyFont="1" applyNumberFormat="1">
      <alignment vertical="center"/>
    </xf>
    <xf borderId="29" fillId="0" fontId="23" numFmtId="9" xfId="0" applyAlignment="1" applyBorder="1" applyFont="1" applyNumberFormat="1">
      <alignment vertical="center"/>
    </xf>
    <xf borderId="11" fillId="0" fontId="23" numFmtId="0" xfId="0" applyAlignment="1" applyBorder="1" applyFont="1">
      <alignment horizontal="center" vertical="center"/>
    </xf>
    <xf borderId="11" fillId="0" fontId="23" numFmtId="0" xfId="0" applyAlignment="1" applyBorder="1" applyFont="1">
      <alignment horizontal="center" shrinkToFit="0" vertical="center" wrapText="1"/>
    </xf>
    <xf borderId="0" fillId="0" fontId="34" numFmtId="0" xfId="0" applyFont="1"/>
    <xf borderId="0" fillId="0" fontId="23" numFmtId="9" xfId="0" applyFont="1" applyNumberFormat="1"/>
    <xf borderId="1" fillId="0" fontId="23" numFmtId="1" xfId="0" applyAlignment="1" applyBorder="1" applyFont="1" applyNumberFormat="1">
      <alignment horizontal="center" shrinkToFit="0" vertical="center" wrapText="1"/>
    </xf>
    <xf borderId="4" fillId="0" fontId="23" numFmtId="1" xfId="0" applyAlignment="1" applyBorder="1" applyFont="1" applyNumberFormat="1">
      <alignment horizontal="center" shrinkToFit="0" vertical="center" wrapText="1"/>
    </xf>
    <xf borderId="11" fillId="0" fontId="23" numFmtId="1" xfId="0" applyAlignment="1" applyBorder="1" applyFont="1" applyNumberFormat="1">
      <alignment horizontal="center" vertical="center"/>
    </xf>
    <xf borderId="6" fillId="0" fontId="23" numFmtId="0" xfId="0" applyAlignment="1" applyBorder="1" applyFont="1">
      <alignment horizontal="center" shrinkToFit="0" vertical="center" wrapText="1"/>
    </xf>
    <xf borderId="109" fillId="22" fontId="23" numFmtId="0" xfId="0" applyAlignment="1" applyBorder="1" applyFont="1">
      <alignment horizontal="center" shrinkToFit="0" vertical="center" wrapText="1"/>
    </xf>
    <xf borderId="110" fillId="0" fontId="23" numFmtId="0" xfId="0" applyAlignment="1" applyBorder="1" applyFont="1">
      <alignment horizontal="center" vertical="center"/>
    </xf>
    <xf borderId="3" fillId="0" fontId="1" numFmtId="0" xfId="0" applyAlignment="1" applyBorder="1" applyFont="1">
      <alignment vertical="center"/>
    </xf>
    <xf borderId="3" fillId="0" fontId="23" numFmtId="165" xfId="0" applyAlignment="1" applyBorder="1" applyFont="1" applyNumberFormat="1">
      <alignment horizontal="center" vertical="center"/>
    </xf>
    <xf borderId="111" fillId="0" fontId="34" numFmtId="165" xfId="0" applyAlignment="1" applyBorder="1" applyFont="1" applyNumberFormat="1">
      <alignment horizontal="center" vertical="center"/>
    </xf>
    <xf borderId="110" fillId="0" fontId="23" numFmtId="165" xfId="0" applyAlignment="1" applyBorder="1" applyFont="1" applyNumberFormat="1">
      <alignment horizontal="center" vertical="center"/>
    </xf>
    <xf borderId="3" fillId="0" fontId="23" numFmtId="165" xfId="0" applyAlignment="1" applyBorder="1" applyFont="1" applyNumberFormat="1">
      <alignment vertical="center"/>
    </xf>
    <xf borderId="69" fillId="0" fontId="23" numFmtId="9" xfId="0" applyAlignment="1" applyBorder="1" applyFont="1" applyNumberFormat="1">
      <alignment vertical="center"/>
    </xf>
    <xf borderId="112" fillId="0" fontId="43" numFmtId="0" xfId="0" applyAlignment="1" applyBorder="1" applyFont="1">
      <alignment horizontal="center" vertical="center"/>
    </xf>
    <xf borderId="113" fillId="0" fontId="43" numFmtId="0" xfId="0" applyAlignment="1" applyBorder="1" applyFont="1">
      <alignment horizontal="center" vertical="center"/>
    </xf>
    <xf borderId="114" fillId="0" fontId="43" numFmtId="0" xfId="0" applyAlignment="1" applyBorder="1" applyFont="1">
      <alignment horizontal="center" vertical="center"/>
    </xf>
    <xf borderId="115" fillId="0" fontId="10" numFmtId="0" xfId="0" applyBorder="1" applyFont="1"/>
    <xf borderId="116" fillId="0" fontId="10" numFmtId="0" xfId="0" applyBorder="1" applyFont="1"/>
    <xf borderId="117" fillId="0" fontId="23" numFmtId="165" xfId="0" applyAlignment="1" applyBorder="1" applyFont="1" applyNumberFormat="1">
      <alignment horizontal="center" vertical="center"/>
    </xf>
    <xf borderId="118" fillId="23" fontId="23" numFmtId="9" xfId="0" applyAlignment="1" applyBorder="1" applyFont="1" applyNumberFormat="1">
      <alignment vertical="center"/>
    </xf>
    <xf borderId="0" fillId="0" fontId="23" numFmtId="0" xfId="0" applyAlignment="1" applyFont="1">
      <alignment horizontal="right"/>
    </xf>
    <xf borderId="119" fillId="21" fontId="1" numFmtId="165" xfId="0" applyBorder="1" applyFont="1" applyNumberFormat="1"/>
    <xf borderId="3" fillId="0" fontId="23" numFmtId="0" xfId="0" applyAlignment="1" applyBorder="1" applyFont="1">
      <alignment horizontal="center" shrinkToFit="0" vertical="center" wrapText="1"/>
    </xf>
    <xf borderId="120" fillId="0" fontId="23" numFmtId="0" xfId="0" applyAlignment="1" applyBorder="1" applyFont="1">
      <alignment horizontal="center" vertical="center"/>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866775"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imeanddate.com/date/workdays.html?d1=1&amp;m1=1&amp;y1=2021&amp;d2=31&amp;m2=12&amp;y2=2021&amp;ti=on&am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showGridLines="0" workbookViewId="0"/>
  </sheetViews>
  <sheetFormatPr customHeight="1" defaultColWidth="14.43" defaultRowHeight="15.0"/>
  <cols>
    <col customWidth="1" min="1" max="1" width="2.43"/>
    <col customWidth="1" min="2" max="2" width="8.29"/>
    <col customWidth="1" min="3" max="3" width="54.14"/>
    <col customWidth="1" min="4" max="7" width="12.0"/>
    <col customWidth="1" min="8" max="8" width="10.14"/>
    <col customWidth="1" min="9" max="9" width="62.57"/>
    <col customWidth="1" min="10" max="10" width="59.0"/>
    <col customWidth="1" min="11" max="11" width="58.71"/>
    <col customWidth="1" min="12" max="14" width="9.14"/>
    <col customWidth="1" min="15" max="15" width="11.71"/>
    <col customWidth="1" min="16" max="16" width="11.0"/>
    <col customWidth="1" min="17" max="28" width="9.14"/>
  </cols>
  <sheetData>
    <row r="1" ht="14.25" customHeight="1">
      <c r="A1" s="1"/>
      <c r="B1" s="1"/>
      <c r="C1" s="1"/>
      <c r="D1" s="2"/>
      <c r="E1" s="2"/>
      <c r="F1" s="1"/>
      <c r="G1" s="1"/>
      <c r="H1" s="3"/>
      <c r="I1" s="1"/>
      <c r="J1" s="1"/>
      <c r="K1" s="1"/>
      <c r="L1" s="1"/>
      <c r="M1" s="1"/>
      <c r="N1" s="1"/>
      <c r="O1" s="1"/>
      <c r="P1" s="1"/>
      <c r="Q1" s="1"/>
      <c r="R1" s="1"/>
      <c r="S1" s="1"/>
      <c r="T1" s="1"/>
      <c r="U1" s="1"/>
      <c r="V1" s="1"/>
      <c r="W1" s="1"/>
      <c r="X1" s="1"/>
      <c r="Y1" s="1"/>
      <c r="Z1" s="1"/>
      <c r="AA1" s="1"/>
      <c r="AB1" s="1"/>
    </row>
    <row r="2" ht="21.0" customHeight="1">
      <c r="A2" s="1"/>
      <c r="B2" s="4" t="s">
        <v>0</v>
      </c>
      <c r="I2" s="5"/>
      <c r="J2" s="5"/>
      <c r="K2" s="1"/>
      <c r="L2" s="1"/>
      <c r="M2" s="1"/>
      <c r="N2" s="1"/>
      <c r="O2" s="1"/>
      <c r="P2" s="1"/>
      <c r="Q2" s="1"/>
      <c r="R2" s="1"/>
      <c r="S2" s="1"/>
      <c r="T2" s="1"/>
      <c r="U2" s="1"/>
      <c r="V2" s="1"/>
      <c r="W2" s="1"/>
      <c r="X2" s="1"/>
      <c r="Y2" s="1"/>
      <c r="Z2" s="1"/>
      <c r="AA2" s="1"/>
      <c r="AB2" s="1"/>
    </row>
    <row r="3" ht="21.0" customHeight="1">
      <c r="A3" s="6"/>
      <c r="B3" s="7" t="s">
        <v>1</v>
      </c>
      <c r="C3" s="8" t="s">
        <v>2</v>
      </c>
      <c r="D3" s="9" t="s">
        <v>3</v>
      </c>
      <c r="E3" s="9" t="s">
        <v>4</v>
      </c>
      <c r="F3" s="9" t="s">
        <v>5</v>
      </c>
      <c r="G3" s="9" t="s">
        <v>6</v>
      </c>
      <c r="H3" s="10" t="s">
        <v>7</v>
      </c>
      <c r="I3" s="11" t="s">
        <v>8</v>
      </c>
      <c r="J3" s="11" t="s">
        <v>9</v>
      </c>
      <c r="K3" s="6"/>
      <c r="L3" s="6"/>
      <c r="M3" s="6"/>
      <c r="N3" s="6"/>
      <c r="O3" s="6"/>
      <c r="P3" s="6"/>
      <c r="Q3" s="6"/>
      <c r="R3" s="6"/>
      <c r="S3" s="6"/>
      <c r="T3" s="6"/>
      <c r="U3" s="6"/>
      <c r="V3" s="6"/>
      <c r="W3" s="6"/>
      <c r="X3" s="6"/>
      <c r="Y3" s="6"/>
      <c r="Z3" s="6"/>
      <c r="AA3" s="6"/>
      <c r="AB3" s="6"/>
    </row>
    <row r="4" ht="153.0" customHeight="1">
      <c r="A4" s="12"/>
      <c r="B4" s="13">
        <v>1.0</v>
      </c>
      <c r="C4" s="14" t="str">
        <f>A. Process Flow Sample Template!C4</f>
        <v>#ERROR!</v>
      </c>
      <c r="D4" s="15" t="str">
        <f t="shared" ref="D4:E4" si="1">#REF!</f>
        <v>#REF!</v>
      </c>
      <c r="E4" s="15" t="str">
        <f t="shared" si="1"/>
        <v>#REF!</v>
      </c>
      <c r="F4" s="16" t="str">
        <f t="shared" ref="F4:G4" si="2">D4/60</f>
        <v>#REF!</v>
      </c>
      <c r="G4" s="16" t="str">
        <f t="shared" si="2"/>
        <v>#REF!</v>
      </c>
      <c r="H4" s="17" t="str">
        <f t="shared" ref="H4:J4" si="3">#REF!</f>
        <v>#REF!</v>
      </c>
      <c r="I4" s="18" t="str">
        <f t="shared" si="3"/>
        <v>#REF!</v>
      </c>
      <c r="J4" s="18" t="str">
        <f t="shared" si="3"/>
        <v>#REF!</v>
      </c>
      <c r="K4" s="12"/>
      <c r="L4" s="12"/>
      <c r="M4" s="12"/>
      <c r="N4" s="12"/>
      <c r="O4" s="12"/>
      <c r="P4" s="12"/>
      <c r="Q4" s="12"/>
      <c r="R4" s="12"/>
      <c r="S4" s="12"/>
      <c r="T4" s="12"/>
      <c r="U4" s="12"/>
      <c r="V4" s="12"/>
      <c r="W4" s="12"/>
      <c r="X4" s="12"/>
      <c r="Y4" s="12"/>
      <c r="Z4" s="12"/>
      <c r="AA4" s="12"/>
      <c r="AB4" s="12"/>
    </row>
    <row r="5" ht="14.25" customHeight="1">
      <c r="A5" s="1"/>
      <c r="B5" s="19" t="s">
        <v>10</v>
      </c>
      <c r="C5" s="20"/>
      <c r="D5" s="21" t="str">
        <f t="shared" ref="D5:E5" si="4">SUM(D4)</f>
        <v>#REF!</v>
      </c>
      <c r="E5" s="21" t="str">
        <f t="shared" si="4"/>
        <v>#REF!</v>
      </c>
      <c r="F5" s="22" t="str">
        <f t="shared" ref="F5:G5" si="5">D5/60</f>
        <v>#REF!</v>
      </c>
      <c r="G5" s="22" t="str">
        <f t="shared" si="5"/>
        <v>#REF!</v>
      </c>
      <c r="H5" s="23" t="str">
        <f>sum(H4)</f>
        <v>#REF!</v>
      </c>
      <c r="I5" s="24"/>
      <c r="J5" s="24"/>
      <c r="K5" s="1"/>
      <c r="L5" s="1"/>
      <c r="M5" s="1"/>
      <c r="N5" s="1"/>
      <c r="O5" s="1"/>
      <c r="P5" s="1"/>
      <c r="Q5" s="1"/>
      <c r="R5" s="1"/>
      <c r="S5" s="1"/>
      <c r="T5" s="1"/>
      <c r="U5" s="1"/>
      <c r="V5" s="1"/>
      <c r="W5" s="1"/>
      <c r="X5" s="1"/>
      <c r="Y5" s="1"/>
      <c r="Z5" s="1"/>
      <c r="AA5" s="1"/>
      <c r="AB5" s="1"/>
    </row>
    <row r="6" ht="14.25" customHeight="1">
      <c r="A6" s="1"/>
      <c r="B6" s="1"/>
      <c r="C6" s="1"/>
      <c r="D6" s="2"/>
      <c r="E6" s="2"/>
      <c r="F6" s="25" t="str">
        <f>F5/60</f>
        <v>#REF!</v>
      </c>
      <c r="G6" s="1"/>
      <c r="H6" s="3"/>
      <c r="I6" s="1"/>
      <c r="J6" s="1"/>
      <c r="K6" s="1"/>
      <c r="L6" s="1"/>
      <c r="M6" s="1"/>
      <c r="N6" s="1"/>
      <c r="O6" s="1"/>
      <c r="P6" s="1"/>
      <c r="Q6" s="1"/>
      <c r="R6" s="1"/>
      <c r="S6" s="1"/>
      <c r="T6" s="1"/>
      <c r="U6" s="1"/>
      <c r="V6" s="1"/>
      <c r="W6" s="1"/>
      <c r="X6" s="1"/>
      <c r="Y6" s="1"/>
      <c r="Z6" s="1"/>
      <c r="AA6" s="1"/>
      <c r="AB6" s="1"/>
    </row>
    <row r="7" ht="15.0" hidden="1" customHeight="1">
      <c r="A7" s="1"/>
      <c r="B7" s="4" t="s">
        <v>11</v>
      </c>
      <c r="I7" s="5"/>
      <c r="J7" s="5"/>
      <c r="K7" s="1"/>
      <c r="L7" s="1"/>
      <c r="M7" s="1"/>
      <c r="N7" s="1"/>
      <c r="O7" s="1"/>
      <c r="P7" s="1"/>
      <c r="Q7" s="1"/>
      <c r="R7" s="1"/>
      <c r="S7" s="1"/>
      <c r="T7" s="1"/>
      <c r="U7" s="1"/>
      <c r="V7" s="1"/>
      <c r="W7" s="1"/>
      <c r="X7" s="1"/>
      <c r="Y7" s="1"/>
      <c r="Z7" s="1"/>
      <c r="AA7" s="1"/>
      <c r="AB7" s="1"/>
    </row>
    <row r="8" ht="14.25" hidden="1" customHeight="1">
      <c r="A8" s="1"/>
      <c r="B8" s="26" t="s">
        <v>1</v>
      </c>
      <c r="C8" s="27" t="s">
        <v>2</v>
      </c>
      <c r="D8" s="27" t="s">
        <v>3</v>
      </c>
      <c r="E8" s="27" t="s">
        <v>4</v>
      </c>
      <c r="F8" s="28"/>
      <c r="G8" s="28"/>
      <c r="H8" s="28" t="s">
        <v>7</v>
      </c>
      <c r="I8" s="29" t="s">
        <v>8</v>
      </c>
      <c r="J8" s="29" t="s">
        <v>9</v>
      </c>
      <c r="K8" s="1"/>
      <c r="L8" s="1"/>
      <c r="M8" s="1"/>
      <c r="N8" s="1"/>
      <c r="O8" s="1"/>
      <c r="P8" s="1"/>
      <c r="Q8" s="1"/>
      <c r="R8" s="1"/>
      <c r="S8" s="1"/>
      <c r="T8" s="1"/>
      <c r="U8" s="1"/>
      <c r="V8" s="1"/>
      <c r="W8" s="1"/>
      <c r="X8" s="1"/>
      <c r="Y8" s="1"/>
      <c r="Z8" s="1"/>
      <c r="AA8" s="1"/>
      <c r="AB8" s="1"/>
    </row>
    <row r="9" ht="14.25" hidden="1" customHeight="1">
      <c r="A9" s="1"/>
      <c r="B9" s="13">
        <v>1.0</v>
      </c>
      <c r="C9" s="14" t="str">
        <f t="shared" ref="C9:C10" si="8">'2. PUTAWAY'!C56</f>
        <v>#REF!</v>
      </c>
      <c r="D9" s="15" t="str">
        <f t="shared" ref="D9:E9" si="6">#REF!</f>
        <v>#REF!</v>
      </c>
      <c r="E9" s="15" t="str">
        <f t="shared" si="6"/>
        <v>#REF!</v>
      </c>
      <c r="F9" s="30"/>
      <c r="G9" s="30"/>
      <c r="H9" s="30" t="str">
        <f t="shared" ref="H9:J9" si="7">#REF!</f>
        <v>#REF!</v>
      </c>
      <c r="I9" s="31" t="str">
        <f t="shared" si="7"/>
        <v>#REF!</v>
      </c>
      <c r="J9" s="31" t="str">
        <f t="shared" si="7"/>
        <v>#REF!</v>
      </c>
      <c r="K9" s="1"/>
      <c r="L9" s="1"/>
      <c r="M9" s="1"/>
      <c r="N9" s="1"/>
      <c r="O9" s="1"/>
      <c r="P9" s="1"/>
      <c r="Q9" s="1"/>
      <c r="R9" s="1"/>
      <c r="S9" s="1"/>
      <c r="T9" s="1"/>
      <c r="U9" s="1"/>
      <c r="V9" s="1"/>
      <c r="W9" s="1"/>
      <c r="X9" s="1"/>
      <c r="Y9" s="1"/>
      <c r="Z9" s="1"/>
      <c r="AA9" s="1"/>
      <c r="AB9" s="1"/>
    </row>
    <row r="10" ht="14.25" hidden="1" customHeight="1">
      <c r="A10" s="1"/>
      <c r="B10" s="13">
        <v>2.0</v>
      </c>
      <c r="C10" s="14" t="str">
        <f t="shared" si="8"/>
        <v>#REF!</v>
      </c>
      <c r="D10" s="21"/>
      <c r="E10" s="21"/>
      <c r="F10" s="30"/>
      <c r="G10" s="30"/>
      <c r="H10" s="30" t="str">
        <f>#REF!</f>
        <v>#REF!</v>
      </c>
      <c r="I10" s="31"/>
      <c r="J10" s="31"/>
      <c r="K10" s="1"/>
      <c r="L10" s="1"/>
      <c r="M10" s="1"/>
      <c r="N10" s="1"/>
      <c r="O10" s="1"/>
      <c r="P10" s="1"/>
      <c r="Q10" s="1"/>
      <c r="R10" s="1"/>
      <c r="S10" s="1"/>
      <c r="T10" s="1"/>
      <c r="U10" s="1"/>
      <c r="V10" s="1"/>
      <c r="W10" s="1"/>
      <c r="X10" s="1"/>
      <c r="Y10" s="1"/>
      <c r="Z10" s="1"/>
      <c r="AA10" s="1"/>
      <c r="AB10" s="1"/>
    </row>
    <row r="11" ht="14.25" hidden="1" customHeight="1">
      <c r="A11" s="1"/>
      <c r="B11" s="19" t="s">
        <v>10</v>
      </c>
      <c r="C11" s="20"/>
      <c r="D11" s="21" t="str">
        <f t="shared" ref="D11:E11" si="9">SUM(D9)</f>
        <v>#REF!</v>
      </c>
      <c r="E11" s="21" t="str">
        <f t="shared" si="9"/>
        <v>#REF!</v>
      </c>
      <c r="F11" s="23"/>
      <c r="G11" s="23"/>
      <c r="H11" s="23">
        <v>1.0</v>
      </c>
      <c r="I11" s="32"/>
      <c r="J11" s="32"/>
      <c r="K11" s="1"/>
      <c r="L11" s="1"/>
      <c r="M11" s="1"/>
      <c r="N11" s="1"/>
      <c r="O11" s="1"/>
      <c r="P11" s="1"/>
      <c r="Q11" s="1"/>
      <c r="R11" s="1"/>
      <c r="S11" s="1"/>
      <c r="T11" s="1"/>
      <c r="U11" s="1"/>
      <c r="V11" s="1"/>
      <c r="W11" s="1"/>
      <c r="X11" s="1"/>
      <c r="Y11" s="1"/>
      <c r="Z11" s="1"/>
      <c r="AA11" s="1"/>
      <c r="AB11" s="1"/>
    </row>
    <row r="12" ht="14.25" hidden="1" customHeight="1">
      <c r="A12" s="1"/>
      <c r="B12" s="1"/>
      <c r="C12" s="1"/>
      <c r="D12" s="2"/>
      <c r="E12" s="2"/>
      <c r="F12" s="1"/>
      <c r="G12" s="1"/>
      <c r="H12" s="3"/>
      <c r="I12" s="1"/>
      <c r="J12" s="1"/>
      <c r="K12" s="1"/>
      <c r="L12" s="1"/>
      <c r="M12" s="1"/>
      <c r="N12" s="1"/>
      <c r="O12" s="1"/>
      <c r="P12" s="1"/>
      <c r="Q12" s="1"/>
      <c r="R12" s="1"/>
      <c r="S12" s="1"/>
      <c r="T12" s="1"/>
      <c r="U12" s="1"/>
      <c r="V12" s="1"/>
      <c r="W12" s="1"/>
      <c r="X12" s="1"/>
      <c r="Y12" s="1"/>
      <c r="Z12" s="1"/>
      <c r="AA12" s="1"/>
      <c r="AB12" s="1"/>
    </row>
    <row r="13" ht="14.25" customHeight="1">
      <c r="A13" s="1"/>
      <c r="B13" s="4" t="s">
        <v>12</v>
      </c>
      <c r="I13" s="5"/>
      <c r="J13" s="5"/>
      <c r="K13" s="1"/>
      <c r="L13" s="1"/>
      <c r="M13" s="1"/>
      <c r="N13" s="1"/>
      <c r="O13" s="1"/>
      <c r="P13" s="1"/>
      <c r="Q13" s="1"/>
      <c r="R13" s="1"/>
      <c r="S13" s="1"/>
      <c r="T13" s="1"/>
      <c r="U13" s="1"/>
      <c r="V13" s="1"/>
      <c r="W13" s="1"/>
      <c r="X13" s="1"/>
      <c r="Y13" s="1"/>
      <c r="Z13" s="1"/>
      <c r="AA13" s="1"/>
      <c r="AB13" s="1"/>
    </row>
    <row r="14" ht="14.25" customHeight="1">
      <c r="A14" s="1"/>
      <c r="B14" s="9" t="s">
        <v>1</v>
      </c>
      <c r="C14" s="9" t="s">
        <v>2</v>
      </c>
      <c r="D14" s="9" t="s">
        <v>3</v>
      </c>
      <c r="E14" s="9" t="s">
        <v>4</v>
      </c>
      <c r="F14" s="9" t="s">
        <v>5</v>
      </c>
      <c r="G14" s="9" t="s">
        <v>6</v>
      </c>
      <c r="H14" s="9" t="s">
        <v>7</v>
      </c>
      <c r="I14" s="9" t="s">
        <v>8</v>
      </c>
      <c r="J14" s="9" t="s">
        <v>9</v>
      </c>
      <c r="K14" s="1"/>
      <c r="L14" s="1"/>
      <c r="M14" s="1"/>
      <c r="N14" s="1"/>
      <c r="O14" s="1"/>
      <c r="P14" s="1"/>
      <c r="Q14" s="1"/>
      <c r="R14" s="1"/>
      <c r="S14" s="1"/>
      <c r="T14" s="1"/>
      <c r="U14" s="1"/>
      <c r="V14" s="1"/>
      <c r="W14" s="1"/>
      <c r="X14" s="1"/>
      <c r="Y14" s="1"/>
      <c r="Z14" s="1"/>
      <c r="AA14" s="1"/>
      <c r="AB14" s="1"/>
    </row>
    <row r="15" ht="14.25" customHeight="1">
      <c r="A15" s="1"/>
      <c r="B15" s="13">
        <v>1.0</v>
      </c>
      <c r="C15" s="14" t="str">
        <f t="shared" ref="C15:C16" si="13">'2. PUTAWAY'!C9</f>
        <v>#REF!</v>
      </c>
      <c r="D15" s="15" t="str">
        <f t="shared" ref="D15:E15" si="10">'2. PUTAWAY'!P9</f>
        <v>#REF!</v>
      </c>
      <c r="E15" s="15" t="str">
        <f t="shared" si="10"/>
        <v>#REF!</v>
      </c>
      <c r="F15" s="16" t="str">
        <f t="shared" ref="F15:G15" si="11">D15/60</f>
        <v>#REF!</v>
      </c>
      <c r="G15" s="16" t="str">
        <f t="shared" si="11"/>
        <v>#REF!</v>
      </c>
      <c r="H15" s="33" t="str">
        <f t="shared" ref="H15:J15" si="12">'2. PUTAWAY'!R9</f>
        <v>#REF!</v>
      </c>
      <c r="I15" s="18" t="str">
        <f t="shared" si="12"/>
        <v>#REF!</v>
      </c>
      <c r="J15" s="18" t="str">
        <f t="shared" si="12"/>
        <v>#REF!</v>
      </c>
      <c r="K15" s="1"/>
      <c r="L15" s="1"/>
      <c r="M15" s="1"/>
      <c r="N15" s="1"/>
      <c r="O15" s="1"/>
      <c r="P15" s="1"/>
      <c r="Q15" s="1"/>
      <c r="R15" s="1"/>
      <c r="S15" s="1"/>
      <c r="T15" s="1"/>
      <c r="U15" s="1"/>
      <c r="V15" s="1"/>
      <c r="W15" s="1"/>
      <c r="X15" s="1"/>
      <c r="Y15" s="1"/>
      <c r="Z15" s="1"/>
      <c r="AA15" s="1"/>
      <c r="AB15" s="1"/>
    </row>
    <row r="16" ht="14.25" customHeight="1">
      <c r="A16" s="1"/>
      <c r="B16" s="13">
        <v>2.0</v>
      </c>
      <c r="C16" s="14" t="str">
        <f t="shared" si="13"/>
        <v>#REF!</v>
      </c>
      <c r="D16" s="15" t="str">
        <f t="shared" ref="D16:E16" si="14">'2. PUTAWAY'!P10</f>
        <v>#REF!</v>
      </c>
      <c r="E16" s="15" t="str">
        <f t="shared" si="14"/>
        <v>#REF!</v>
      </c>
      <c r="F16" s="16" t="str">
        <f t="shared" ref="F16:G16" si="15">D16/60</f>
        <v>#REF!</v>
      </c>
      <c r="G16" s="16" t="str">
        <f t="shared" si="15"/>
        <v>#REF!</v>
      </c>
      <c r="H16" s="34" t="str">
        <f t="shared" ref="H16:J16" si="16">'2. PUTAWAY'!R10</f>
        <v>#REF!</v>
      </c>
      <c r="I16" s="31" t="str">
        <f t="shared" si="16"/>
        <v>#REF!</v>
      </c>
      <c r="J16" s="31" t="str">
        <f t="shared" si="16"/>
        <v>#REF!</v>
      </c>
      <c r="K16" s="1"/>
      <c r="L16" s="1"/>
      <c r="M16" s="1"/>
      <c r="N16" s="1"/>
      <c r="O16" s="1"/>
      <c r="P16" s="1"/>
      <c r="Q16" s="1"/>
      <c r="R16" s="1"/>
      <c r="S16" s="1"/>
      <c r="T16" s="1"/>
      <c r="U16" s="1"/>
      <c r="V16" s="1"/>
      <c r="W16" s="1"/>
      <c r="X16" s="1"/>
      <c r="Y16" s="1"/>
      <c r="Z16" s="1"/>
      <c r="AA16" s="1"/>
      <c r="AB16" s="1"/>
    </row>
    <row r="17" ht="14.25" customHeight="1">
      <c r="A17" s="1"/>
      <c r="B17" s="19" t="s">
        <v>10</v>
      </c>
      <c r="C17" s="20"/>
      <c r="D17" s="21" t="str">
        <f t="shared" ref="D17:E17" si="17">sum(D15:D16)</f>
        <v>#REF!</v>
      </c>
      <c r="E17" s="21" t="str">
        <f t="shared" si="17"/>
        <v>#REF!</v>
      </c>
      <c r="F17" s="22" t="str">
        <f t="shared" ref="F17:G17" si="18">D17/60</f>
        <v>#REF!</v>
      </c>
      <c r="G17" s="22" t="str">
        <f t="shared" si="18"/>
        <v>#REF!</v>
      </c>
      <c r="H17" s="23" t="str">
        <f>sum(H15:H16)</f>
        <v>#REF!</v>
      </c>
      <c r="I17" s="32"/>
      <c r="J17" s="32"/>
      <c r="K17" s="1"/>
      <c r="L17" s="1"/>
      <c r="M17" s="1"/>
      <c r="N17" s="1"/>
      <c r="O17" s="1"/>
      <c r="P17" s="1"/>
      <c r="Q17" s="1"/>
      <c r="R17" s="1"/>
      <c r="S17" s="1"/>
      <c r="T17" s="1"/>
      <c r="U17" s="1"/>
      <c r="V17" s="1"/>
      <c r="W17" s="1"/>
      <c r="X17" s="1"/>
      <c r="Y17" s="1"/>
      <c r="Z17" s="1"/>
      <c r="AA17" s="1"/>
      <c r="AB17" s="1"/>
    </row>
    <row r="18" ht="14.25" customHeight="1">
      <c r="A18" s="1"/>
      <c r="B18" s="1"/>
      <c r="C18" s="1"/>
      <c r="D18" s="2"/>
      <c r="E18" s="2"/>
      <c r="F18" s="1" t="str">
        <f>F17/60</f>
        <v>#REF!</v>
      </c>
      <c r="G18" s="1"/>
      <c r="H18" s="3"/>
      <c r="I18" s="1"/>
      <c r="J18" s="1"/>
      <c r="K18" s="1"/>
      <c r="L18" s="1"/>
      <c r="M18" s="1"/>
      <c r="N18" s="1"/>
      <c r="O18" s="1"/>
      <c r="P18" s="1"/>
      <c r="Q18" s="1"/>
      <c r="R18" s="1"/>
      <c r="S18" s="1"/>
      <c r="T18" s="1"/>
      <c r="U18" s="1"/>
      <c r="V18" s="1"/>
      <c r="W18" s="1"/>
      <c r="X18" s="1"/>
      <c r="Y18" s="1"/>
      <c r="Z18" s="1"/>
      <c r="AA18" s="1"/>
      <c r="AB18" s="1"/>
    </row>
    <row r="19" ht="14.25" customHeight="1">
      <c r="A19" s="1"/>
      <c r="B19" s="4" t="s">
        <v>13</v>
      </c>
      <c r="I19" s="5"/>
      <c r="J19" s="5"/>
      <c r="K19" s="1"/>
      <c r="L19" s="1"/>
      <c r="M19" s="1"/>
      <c r="N19" s="1"/>
      <c r="O19" s="1"/>
      <c r="P19" s="1"/>
      <c r="Q19" s="1"/>
      <c r="R19" s="1"/>
      <c r="S19" s="1"/>
      <c r="T19" s="1"/>
      <c r="U19" s="1"/>
      <c r="V19" s="1"/>
      <c r="W19" s="1"/>
      <c r="X19" s="1"/>
      <c r="Y19" s="1"/>
      <c r="Z19" s="1"/>
      <c r="AA19" s="1"/>
      <c r="AB19" s="1"/>
    </row>
    <row r="20" ht="14.25" customHeight="1">
      <c r="A20" s="1"/>
      <c r="B20" s="9" t="s">
        <v>1</v>
      </c>
      <c r="C20" s="9" t="s">
        <v>2</v>
      </c>
      <c r="D20" s="9" t="s">
        <v>3</v>
      </c>
      <c r="E20" s="9" t="s">
        <v>4</v>
      </c>
      <c r="F20" s="9" t="s">
        <v>5</v>
      </c>
      <c r="G20" s="9" t="s">
        <v>6</v>
      </c>
      <c r="H20" s="9" t="s">
        <v>7</v>
      </c>
      <c r="I20" s="9" t="s">
        <v>8</v>
      </c>
      <c r="J20" s="9" t="s">
        <v>9</v>
      </c>
      <c r="K20" s="1"/>
      <c r="L20" s="1"/>
      <c r="M20" s="1"/>
      <c r="N20" s="1"/>
      <c r="O20" s="1"/>
      <c r="P20" s="1"/>
      <c r="Q20" s="1"/>
      <c r="R20" s="1"/>
      <c r="S20" s="1"/>
      <c r="T20" s="1"/>
      <c r="U20" s="1"/>
      <c r="V20" s="1"/>
      <c r="W20" s="1"/>
      <c r="X20" s="1"/>
      <c r="Y20" s="1"/>
      <c r="Z20" s="1"/>
      <c r="AA20" s="1"/>
      <c r="AB20" s="1"/>
    </row>
    <row r="21" ht="14.25" customHeight="1">
      <c r="A21" s="1"/>
      <c r="B21" s="13">
        <v>1.0</v>
      </c>
      <c r="C21" s="14" t="str">
        <f t="shared" ref="C21:C22" si="22">'3. RELEASING OF WAVE ORDERS'!C9</f>
        <v>#REF!</v>
      </c>
      <c r="D21" s="15" t="str">
        <f t="shared" ref="D21:E21" si="19">'3. RELEASING OF WAVE ORDERS'!P9</f>
        <v>#REF!</v>
      </c>
      <c r="E21" s="15" t="str">
        <f t="shared" si="19"/>
        <v>#REF!</v>
      </c>
      <c r="F21" s="16" t="str">
        <f t="shared" ref="F21:G21" si="20">D21/60</f>
        <v>#REF!</v>
      </c>
      <c r="G21" s="16" t="str">
        <f t="shared" si="20"/>
        <v>#REF!</v>
      </c>
      <c r="H21" s="34" t="str">
        <f t="shared" ref="H21:J21" si="21">'3. RELEASING OF WAVE ORDERS'!R9</f>
        <v>#REF!</v>
      </c>
      <c r="I21" s="18" t="str">
        <f t="shared" si="21"/>
        <v>#REF!</v>
      </c>
      <c r="J21" s="18" t="str">
        <f t="shared" si="21"/>
        <v>#REF!</v>
      </c>
      <c r="K21" s="1"/>
      <c r="L21" s="1"/>
      <c r="M21" s="1"/>
      <c r="N21" s="1"/>
      <c r="O21" s="1"/>
      <c r="P21" s="1"/>
      <c r="Q21" s="1"/>
      <c r="R21" s="1"/>
      <c r="S21" s="1"/>
      <c r="T21" s="1"/>
      <c r="U21" s="1"/>
      <c r="V21" s="1"/>
      <c r="W21" s="1"/>
      <c r="X21" s="1"/>
      <c r="Y21" s="1"/>
      <c r="Z21" s="1"/>
      <c r="AA21" s="1"/>
      <c r="AB21" s="1"/>
    </row>
    <row r="22" ht="14.25" customHeight="1">
      <c r="A22" s="1"/>
      <c r="B22" s="13">
        <v>2.0</v>
      </c>
      <c r="C22" s="14" t="str">
        <f t="shared" si="22"/>
        <v>#REF!</v>
      </c>
      <c r="D22" s="15" t="str">
        <f t="shared" ref="D22:E22" si="23">'3. RELEASING OF WAVE ORDERS'!P10</f>
        <v>#REF!</v>
      </c>
      <c r="E22" s="15" t="str">
        <f t="shared" si="23"/>
        <v>#REF!</v>
      </c>
      <c r="F22" s="16" t="str">
        <f t="shared" ref="F22:G22" si="24">D22/60</f>
        <v>#REF!</v>
      </c>
      <c r="G22" s="16" t="str">
        <f t="shared" si="24"/>
        <v>#REF!</v>
      </c>
      <c r="H22" s="33" t="str">
        <f t="shared" ref="H22:J22" si="25">'3. RELEASING OF WAVE ORDERS'!R10</f>
        <v>#REF!</v>
      </c>
      <c r="I22" s="18" t="str">
        <f t="shared" si="25"/>
        <v>#REF!</v>
      </c>
      <c r="J22" s="18" t="str">
        <f t="shared" si="25"/>
        <v>#REF!</v>
      </c>
      <c r="K22" s="1"/>
      <c r="L22" s="1"/>
      <c r="M22" s="1"/>
      <c r="N22" s="1"/>
      <c r="O22" s="1"/>
      <c r="P22" s="1"/>
      <c r="Q22" s="1"/>
      <c r="R22" s="1"/>
      <c r="S22" s="1"/>
      <c r="T22" s="1"/>
      <c r="U22" s="1"/>
      <c r="V22" s="1"/>
      <c r="W22" s="1"/>
      <c r="X22" s="1"/>
      <c r="Y22" s="1"/>
      <c r="Z22" s="1"/>
      <c r="AA22" s="1"/>
      <c r="AB22" s="1"/>
    </row>
    <row r="23" ht="14.25" customHeight="1">
      <c r="A23" s="1"/>
      <c r="B23" s="19" t="s">
        <v>10</v>
      </c>
      <c r="C23" s="20"/>
      <c r="D23" s="21" t="str">
        <f t="shared" ref="D23:E23" si="26">sum(D21:D22)</f>
        <v>#REF!</v>
      </c>
      <c r="E23" s="21" t="str">
        <f t="shared" si="26"/>
        <v>#REF!</v>
      </c>
      <c r="F23" s="22" t="str">
        <f t="shared" ref="F23:G23" si="27">D23/60</f>
        <v>#REF!</v>
      </c>
      <c r="G23" s="22" t="str">
        <f t="shared" si="27"/>
        <v>#REF!</v>
      </c>
      <c r="H23" s="23" t="str">
        <f>sum(H21:H22)</f>
        <v>#REF!</v>
      </c>
      <c r="I23" s="32"/>
      <c r="J23" s="32"/>
      <c r="K23" s="1"/>
      <c r="L23" s="1"/>
      <c r="M23" s="1"/>
      <c r="N23" s="1"/>
      <c r="O23" s="1"/>
      <c r="P23" s="1"/>
      <c r="Q23" s="1"/>
      <c r="R23" s="1"/>
      <c r="S23" s="1"/>
      <c r="T23" s="1"/>
      <c r="U23" s="1"/>
      <c r="V23" s="1"/>
      <c r="W23" s="1"/>
      <c r="X23" s="1"/>
      <c r="Y23" s="1"/>
      <c r="Z23" s="1"/>
      <c r="AA23" s="1"/>
      <c r="AB23" s="1"/>
    </row>
    <row r="24" ht="14.25" customHeight="1">
      <c r="A24" s="1"/>
      <c r="B24" s="1"/>
      <c r="C24" s="1"/>
      <c r="D24" s="2"/>
      <c r="E24" s="2"/>
      <c r="F24" s="1"/>
      <c r="G24" s="1"/>
      <c r="H24" s="3"/>
      <c r="I24" s="1"/>
      <c r="J24" s="1"/>
      <c r="K24" s="1"/>
      <c r="L24" s="1"/>
      <c r="M24" s="1"/>
      <c r="N24" s="1"/>
      <c r="O24" s="1"/>
      <c r="P24" s="1"/>
      <c r="Q24" s="1"/>
      <c r="R24" s="1"/>
      <c r="S24" s="1"/>
      <c r="T24" s="1"/>
      <c r="U24" s="1"/>
      <c r="V24" s="1"/>
      <c r="W24" s="1"/>
      <c r="X24" s="1"/>
      <c r="Y24" s="1"/>
      <c r="Z24" s="1"/>
      <c r="AA24" s="1"/>
      <c r="AB24" s="1"/>
    </row>
    <row r="25" ht="14.25" customHeight="1">
      <c r="A25" s="1"/>
      <c r="B25" s="4" t="s">
        <v>14</v>
      </c>
      <c r="I25" s="5"/>
      <c r="J25" s="5"/>
      <c r="K25" s="1"/>
      <c r="L25" s="1"/>
      <c r="M25" s="1"/>
      <c r="N25" s="1"/>
      <c r="O25" s="1"/>
      <c r="P25" s="1"/>
      <c r="Q25" s="1"/>
      <c r="R25" s="1"/>
      <c r="S25" s="1"/>
      <c r="T25" s="1"/>
      <c r="U25" s="1"/>
      <c r="V25" s="1"/>
      <c r="W25" s="1"/>
      <c r="X25" s="1"/>
      <c r="Y25" s="1"/>
      <c r="Z25" s="1"/>
      <c r="AA25" s="1"/>
      <c r="AB25" s="1"/>
    </row>
    <row r="26" ht="14.25" customHeight="1">
      <c r="A26" s="1"/>
      <c r="B26" s="9" t="s">
        <v>1</v>
      </c>
      <c r="C26" s="9" t="s">
        <v>2</v>
      </c>
      <c r="D26" s="9" t="s">
        <v>3</v>
      </c>
      <c r="E26" s="9" t="s">
        <v>4</v>
      </c>
      <c r="F26" s="9" t="s">
        <v>5</v>
      </c>
      <c r="G26" s="9" t="s">
        <v>6</v>
      </c>
      <c r="H26" s="9" t="s">
        <v>7</v>
      </c>
      <c r="I26" s="9" t="s">
        <v>8</v>
      </c>
      <c r="J26" s="9" t="s">
        <v>9</v>
      </c>
      <c r="K26" s="1"/>
      <c r="L26" s="1"/>
      <c r="M26" s="1"/>
      <c r="N26" s="1"/>
      <c r="O26" s="1"/>
      <c r="P26" s="1"/>
      <c r="Q26" s="1"/>
      <c r="R26" s="1"/>
      <c r="S26" s="1"/>
      <c r="T26" s="1"/>
      <c r="U26" s="1"/>
      <c r="V26" s="1"/>
      <c r="W26" s="1"/>
      <c r="X26" s="1"/>
      <c r="Y26" s="1"/>
      <c r="Z26" s="1"/>
      <c r="AA26" s="1"/>
      <c r="AB26" s="1"/>
    </row>
    <row r="27" ht="14.25" customHeight="1">
      <c r="A27" s="1"/>
      <c r="B27" s="13">
        <v>1.0</v>
      </c>
      <c r="C27" s="14" t="str">
        <f>'3. RELEASING OF WAVE ORDERS'!C36</f>
        <v>#REF!</v>
      </c>
      <c r="D27" s="15" t="str">
        <f t="shared" ref="D27:E27" si="28">'3. RELEASING OF WAVE ORDERS'!P36</f>
        <v>#REF!</v>
      </c>
      <c r="E27" s="15" t="str">
        <f t="shared" si="28"/>
        <v>#REF!</v>
      </c>
      <c r="F27" s="16" t="str">
        <f t="shared" ref="F27:G27" si="29">D27/60</f>
        <v>#REF!</v>
      </c>
      <c r="G27" s="16" t="str">
        <f t="shared" si="29"/>
        <v>#REF!</v>
      </c>
      <c r="H27" s="33" t="str">
        <f t="shared" ref="H27:J27" si="30">'3. RELEASING OF WAVE ORDERS'!R36</f>
        <v>#REF!</v>
      </c>
      <c r="I27" s="31" t="str">
        <f t="shared" si="30"/>
        <v>#REF!</v>
      </c>
      <c r="J27" s="31" t="str">
        <f t="shared" si="30"/>
        <v>#REF!</v>
      </c>
      <c r="K27" s="1"/>
      <c r="L27" s="1"/>
      <c r="M27" s="1"/>
      <c r="N27" s="1"/>
      <c r="O27" s="1"/>
      <c r="P27" s="1"/>
      <c r="Q27" s="1"/>
      <c r="R27" s="1"/>
      <c r="S27" s="1"/>
      <c r="T27" s="1"/>
      <c r="U27" s="1"/>
      <c r="V27" s="1"/>
      <c r="W27" s="1"/>
      <c r="X27" s="1"/>
      <c r="Y27" s="1"/>
      <c r="Z27" s="1"/>
      <c r="AA27" s="1"/>
      <c r="AB27" s="1"/>
    </row>
    <row r="28" ht="14.25" customHeight="1">
      <c r="A28" s="1"/>
      <c r="B28" s="19" t="s">
        <v>10</v>
      </c>
      <c r="C28" s="20"/>
      <c r="D28" s="21" t="str">
        <f t="shared" ref="D28:E28" si="31">SUM(D27)</f>
        <v>#REF!</v>
      </c>
      <c r="E28" s="21" t="str">
        <f t="shared" si="31"/>
        <v>#REF!</v>
      </c>
      <c r="F28" s="22" t="str">
        <f t="shared" ref="F28:G28" si="32">D28/60</f>
        <v>#REF!</v>
      </c>
      <c r="G28" s="22" t="str">
        <f t="shared" si="32"/>
        <v>#REF!</v>
      </c>
      <c r="H28" s="23" t="str">
        <f>sum(H27)</f>
        <v>#REF!</v>
      </c>
      <c r="I28" s="32"/>
      <c r="J28" s="32"/>
      <c r="K28" s="1"/>
      <c r="L28" s="1"/>
      <c r="M28" s="1"/>
      <c r="N28" s="1"/>
      <c r="O28" s="1"/>
      <c r="P28" s="1"/>
      <c r="Q28" s="1"/>
      <c r="R28" s="1"/>
      <c r="S28" s="1"/>
      <c r="T28" s="1"/>
      <c r="U28" s="1"/>
      <c r="V28" s="1"/>
      <c r="W28" s="1"/>
      <c r="X28" s="1"/>
      <c r="Y28" s="1"/>
      <c r="Z28" s="1"/>
      <c r="AA28" s="1"/>
      <c r="AB28" s="1"/>
    </row>
    <row r="29" ht="14.25" customHeight="1">
      <c r="A29" s="1"/>
      <c r="B29" s="1"/>
      <c r="C29" s="1"/>
      <c r="D29" s="2"/>
      <c r="E29" s="2"/>
      <c r="F29" s="1"/>
      <c r="G29" s="1"/>
      <c r="H29" s="3"/>
      <c r="I29" s="1"/>
      <c r="J29" s="1"/>
      <c r="K29" s="1"/>
      <c r="L29" s="1"/>
      <c r="M29" s="1"/>
      <c r="N29" s="1"/>
      <c r="O29" s="1"/>
      <c r="P29" s="1"/>
      <c r="Q29" s="1"/>
      <c r="R29" s="1"/>
      <c r="S29" s="1"/>
      <c r="T29" s="1"/>
      <c r="U29" s="1"/>
      <c r="V29" s="1"/>
      <c r="W29" s="1"/>
      <c r="X29" s="1"/>
      <c r="Y29" s="1"/>
      <c r="Z29" s="1"/>
      <c r="AA29" s="1"/>
      <c r="AB29" s="1"/>
    </row>
    <row r="30" ht="14.25" customHeight="1">
      <c r="A30" s="35"/>
      <c r="B30" s="36" t="s">
        <v>15</v>
      </c>
      <c r="C30" s="37"/>
      <c r="D30" s="37"/>
      <c r="E30" s="37"/>
      <c r="F30" s="37"/>
      <c r="G30" s="37"/>
      <c r="H30" s="37"/>
      <c r="I30" s="38"/>
      <c r="J30" s="38"/>
      <c r="K30" s="35"/>
      <c r="L30" s="35"/>
      <c r="M30" s="35"/>
      <c r="N30" s="35"/>
      <c r="O30" s="35"/>
      <c r="P30" s="35"/>
      <c r="Q30" s="35"/>
      <c r="R30" s="35"/>
      <c r="S30" s="35"/>
      <c r="T30" s="35"/>
      <c r="U30" s="35"/>
      <c r="V30" s="35"/>
      <c r="W30" s="35"/>
      <c r="X30" s="35"/>
      <c r="Y30" s="35"/>
      <c r="Z30" s="35"/>
      <c r="AA30" s="35"/>
      <c r="AB30" s="35"/>
    </row>
    <row r="31" ht="14.25" customHeight="1">
      <c r="A31" s="39"/>
      <c r="B31" s="9" t="s">
        <v>1</v>
      </c>
      <c r="C31" s="9" t="s">
        <v>2</v>
      </c>
      <c r="D31" s="9" t="s">
        <v>3</v>
      </c>
      <c r="E31" s="9" t="s">
        <v>4</v>
      </c>
      <c r="F31" s="9" t="s">
        <v>5</v>
      </c>
      <c r="G31" s="9" t="s">
        <v>6</v>
      </c>
      <c r="H31" s="40" t="s">
        <v>7</v>
      </c>
      <c r="I31" s="9" t="s">
        <v>8</v>
      </c>
      <c r="J31" s="9" t="s">
        <v>9</v>
      </c>
      <c r="K31" s="35"/>
      <c r="L31" s="35"/>
      <c r="M31" s="35"/>
      <c r="N31" s="35"/>
      <c r="O31" s="35"/>
      <c r="P31" s="35"/>
      <c r="Q31" s="35"/>
      <c r="R31" s="35"/>
      <c r="S31" s="35"/>
      <c r="T31" s="35"/>
      <c r="U31" s="35"/>
      <c r="V31" s="35"/>
      <c r="W31" s="35"/>
      <c r="X31" s="35"/>
      <c r="Y31" s="35"/>
      <c r="Z31" s="35"/>
      <c r="AA31" s="35"/>
      <c r="AB31" s="35"/>
    </row>
    <row r="32" ht="14.25" customHeight="1">
      <c r="A32" s="39"/>
      <c r="B32" s="41">
        <v>1.0</v>
      </c>
      <c r="C32" s="42" t="str">
        <f t="shared" ref="C32:C35" si="36">'4. BATCH BY ORDER'!C9</f>
        <v>#REF!</v>
      </c>
      <c r="D32" s="43" t="str">
        <f t="shared" ref="D32:E32" si="33">'4. BATCH BY ORDER'!P9</f>
        <v>#REF!</v>
      </c>
      <c r="E32" s="43" t="str">
        <f t="shared" si="33"/>
        <v>#REF!</v>
      </c>
      <c r="F32" s="16" t="str">
        <f t="shared" ref="F32:G32" si="34">D32/60</f>
        <v>#REF!</v>
      </c>
      <c r="G32" s="16" t="str">
        <f t="shared" si="34"/>
        <v>#REF!</v>
      </c>
      <c r="H32" s="34" t="str">
        <f t="shared" ref="H32:J32" si="35">'4. BATCH BY ORDER'!R9</f>
        <v>#REF!</v>
      </c>
      <c r="I32" s="44" t="str">
        <f t="shared" si="35"/>
        <v>#REF!</v>
      </c>
      <c r="J32" s="44" t="str">
        <f t="shared" si="35"/>
        <v>#REF!</v>
      </c>
      <c r="K32" s="35"/>
      <c r="L32" s="35"/>
      <c r="M32" s="35"/>
      <c r="N32" s="35"/>
      <c r="O32" s="35"/>
      <c r="P32" s="35"/>
      <c r="Q32" s="35"/>
      <c r="R32" s="35"/>
      <c r="S32" s="35"/>
      <c r="T32" s="35"/>
      <c r="U32" s="35"/>
      <c r="V32" s="35"/>
      <c r="W32" s="35"/>
      <c r="X32" s="35"/>
      <c r="Y32" s="35"/>
      <c r="Z32" s="35"/>
      <c r="AA32" s="35"/>
      <c r="AB32" s="35"/>
    </row>
    <row r="33" ht="14.25" customHeight="1">
      <c r="A33" s="39"/>
      <c r="B33" s="41">
        <v>2.0</v>
      </c>
      <c r="C33" s="42" t="str">
        <f t="shared" si="36"/>
        <v>#REF!</v>
      </c>
      <c r="D33" s="43" t="str">
        <f t="shared" ref="D33:E33" si="37">'4. BATCH BY ORDER'!P10</f>
        <v>#REF!</v>
      </c>
      <c r="E33" s="43" t="str">
        <f t="shared" si="37"/>
        <v>#REF!</v>
      </c>
      <c r="F33" s="16" t="str">
        <f t="shared" ref="F33:G33" si="38">D33/60</f>
        <v>#REF!</v>
      </c>
      <c r="G33" s="16" t="str">
        <f t="shared" si="38"/>
        <v>#REF!</v>
      </c>
      <c r="H33" s="33" t="str">
        <f t="shared" ref="H33:H35" si="41">'4. BATCH BY ORDER'!R10</f>
        <v>#REF!</v>
      </c>
      <c r="I33" s="45"/>
      <c r="J33" s="45"/>
      <c r="K33" s="35"/>
      <c r="L33" s="35"/>
      <c r="M33" s="35"/>
      <c r="N33" s="35"/>
      <c r="O33" s="35"/>
      <c r="P33" s="35"/>
      <c r="Q33" s="35"/>
      <c r="R33" s="35"/>
      <c r="S33" s="35"/>
      <c r="T33" s="35"/>
      <c r="U33" s="35"/>
      <c r="V33" s="35"/>
      <c r="W33" s="35"/>
      <c r="X33" s="35"/>
      <c r="Y33" s="35"/>
      <c r="Z33" s="35"/>
      <c r="AA33" s="35"/>
      <c r="AB33" s="35"/>
    </row>
    <row r="34" ht="14.25" customHeight="1">
      <c r="A34" s="39"/>
      <c r="B34" s="41">
        <v>3.0</v>
      </c>
      <c r="C34" s="42" t="str">
        <f t="shared" si="36"/>
        <v>#REF!</v>
      </c>
      <c r="D34" s="43" t="str">
        <f t="shared" ref="D34:E34" si="39">'4. BATCH BY ORDER'!P11</f>
        <v>#REF!</v>
      </c>
      <c r="E34" s="43" t="str">
        <f t="shared" si="39"/>
        <v>#REF!</v>
      </c>
      <c r="F34" s="16" t="str">
        <f t="shared" ref="F34:G34" si="40">D34/60</f>
        <v>#REF!</v>
      </c>
      <c r="G34" s="16" t="str">
        <f t="shared" si="40"/>
        <v>#REF!</v>
      </c>
      <c r="H34" s="46" t="str">
        <f t="shared" si="41"/>
        <v>#REF!</v>
      </c>
      <c r="I34" s="45"/>
      <c r="J34" s="45"/>
      <c r="K34" s="35"/>
      <c r="L34" s="35"/>
      <c r="M34" s="35"/>
      <c r="N34" s="35"/>
      <c r="O34" s="35"/>
      <c r="P34" s="35"/>
      <c r="Q34" s="35"/>
      <c r="R34" s="35"/>
      <c r="S34" s="35"/>
      <c r="T34" s="35"/>
      <c r="U34" s="35"/>
      <c r="V34" s="35"/>
      <c r="W34" s="35"/>
      <c r="X34" s="35"/>
      <c r="Y34" s="35"/>
      <c r="Z34" s="35"/>
      <c r="AA34" s="35"/>
      <c r="AB34" s="35"/>
    </row>
    <row r="35" ht="14.25" customHeight="1">
      <c r="A35" s="39"/>
      <c r="B35" s="41">
        <v>4.0</v>
      </c>
      <c r="C35" s="42" t="str">
        <f t="shared" si="36"/>
        <v>#REF!</v>
      </c>
      <c r="D35" s="43" t="str">
        <f t="shared" ref="D35:E35" si="42">'4. BATCH BY ORDER'!P12</f>
        <v>#REF!</v>
      </c>
      <c r="E35" s="43" t="str">
        <f t="shared" si="42"/>
        <v>#REF!</v>
      </c>
      <c r="F35" s="16" t="str">
        <f t="shared" ref="F35:G35" si="43">D35/60</f>
        <v>#REF!</v>
      </c>
      <c r="G35" s="16" t="str">
        <f t="shared" si="43"/>
        <v>#REF!</v>
      </c>
      <c r="H35" s="46" t="str">
        <f t="shared" si="41"/>
        <v>#REF!</v>
      </c>
      <c r="I35" s="47"/>
      <c r="J35" s="47"/>
      <c r="K35" s="35"/>
      <c r="L35" s="35"/>
      <c r="M35" s="35"/>
      <c r="N35" s="35"/>
      <c r="O35" s="35"/>
      <c r="P35" s="35"/>
      <c r="Q35" s="35"/>
      <c r="R35" s="35"/>
      <c r="S35" s="35"/>
      <c r="T35" s="35"/>
      <c r="U35" s="35"/>
      <c r="V35" s="35"/>
      <c r="W35" s="35"/>
      <c r="X35" s="35"/>
      <c r="Y35" s="35"/>
      <c r="Z35" s="35"/>
      <c r="AA35" s="35"/>
      <c r="AB35" s="35"/>
    </row>
    <row r="36" ht="14.25" customHeight="1">
      <c r="A36" s="39"/>
      <c r="B36" s="48" t="s">
        <v>10</v>
      </c>
      <c r="C36" s="47"/>
      <c r="D36" s="49" t="str">
        <f t="shared" ref="D36:E36" si="44">SUM(D32:D35)</f>
        <v>#REF!</v>
      </c>
      <c r="E36" s="49" t="str">
        <f t="shared" si="44"/>
        <v>#REF!</v>
      </c>
      <c r="F36" s="22" t="str">
        <f t="shared" ref="F36:G36" si="45">D36/60</f>
        <v>#REF!</v>
      </c>
      <c r="G36" s="22" t="str">
        <f t="shared" si="45"/>
        <v>#REF!</v>
      </c>
      <c r="H36" s="23" t="str">
        <f>sum(H32:H35)</f>
        <v>#REF!</v>
      </c>
      <c r="I36" s="50" t="str">
        <f>'4. BATCH BY ORDER'!S3</f>
        <v>#REF!</v>
      </c>
      <c r="J36" s="50"/>
      <c r="K36" s="35"/>
      <c r="L36" s="35"/>
      <c r="M36" s="35"/>
      <c r="N36" s="35"/>
      <c r="O36" s="35"/>
      <c r="P36" s="35"/>
      <c r="Q36" s="35"/>
      <c r="R36" s="35"/>
      <c r="S36" s="35"/>
      <c r="T36" s="35"/>
      <c r="U36" s="35"/>
      <c r="V36" s="35"/>
      <c r="W36" s="35"/>
      <c r="X36" s="35"/>
      <c r="Y36" s="35"/>
      <c r="Z36" s="35"/>
      <c r="AA36" s="35"/>
      <c r="AB36" s="35"/>
    </row>
    <row r="37" ht="14.25" customHeight="1">
      <c r="A37" s="1"/>
      <c r="B37" s="4"/>
      <c r="C37" s="4"/>
      <c r="D37" s="4"/>
      <c r="E37" s="4"/>
      <c r="F37" s="4"/>
      <c r="G37" s="4"/>
      <c r="H37" s="51"/>
      <c r="I37" s="5"/>
      <c r="J37" s="5"/>
      <c r="K37" s="1"/>
      <c r="L37" s="1"/>
      <c r="M37" s="1"/>
      <c r="N37" s="1"/>
      <c r="O37" s="1"/>
      <c r="P37" s="1"/>
      <c r="Q37" s="1"/>
      <c r="R37" s="1"/>
      <c r="S37" s="1"/>
      <c r="T37" s="1"/>
      <c r="U37" s="1"/>
      <c r="V37" s="1"/>
      <c r="W37" s="1"/>
      <c r="X37" s="1"/>
      <c r="Y37" s="1"/>
      <c r="Z37" s="1"/>
      <c r="AA37" s="1"/>
      <c r="AB37" s="1"/>
    </row>
    <row r="38" ht="14.25" customHeight="1">
      <c r="A38" s="1"/>
      <c r="B38" s="4" t="s">
        <v>16</v>
      </c>
      <c r="I38" s="5"/>
      <c r="J38" s="5"/>
      <c r="K38" s="1"/>
      <c r="L38" s="1"/>
      <c r="M38" s="1"/>
      <c r="N38" s="1"/>
      <c r="O38" s="1"/>
      <c r="P38" s="1"/>
      <c r="Q38" s="1"/>
      <c r="R38" s="1"/>
      <c r="S38" s="1"/>
      <c r="T38" s="1"/>
      <c r="U38" s="1"/>
      <c r="V38" s="1"/>
      <c r="W38" s="1"/>
      <c r="X38" s="1"/>
      <c r="Y38" s="1"/>
      <c r="Z38" s="1"/>
      <c r="AA38" s="1"/>
      <c r="AB38" s="1"/>
    </row>
    <row r="39" ht="14.25" customHeight="1">
      <c r="A39" s="1"/>
      <c r="B39" s="9" t="s">
        <v>1</v>
      </c>
      <c r="C39" s="9" t="s">
        <v>2</v>
      </c>
      <c r="D39" s="9" t="s">
        <v>3</v>
      </c>
      <c r="E39" s="9" t="s">
        <v>4</v>
      </c>
      <c r="F39" s="9" t="s">
        <v>5</v>
      </c>
      <c r="G39" s="9" t="s">
        <v>6</v>
      </c>
      <c r="H39" s="40" t="s">
        <v>7</v>
      </c>
      <c r="I39" s="9" t="s">
        <v>8</v>
      </c>
      <c r="J39" s="9" t="s">
        <v>9</v>
      </c>
      <c r="K39" s="1"/>
      <c r="L39" s="1"/>
      <c r="M39" s="1"/>
      <c r="N39" s="1"/>
      <c r="O39" s="1"/>
      <c r="P39" s="1"/>
      <c r="Q39" s="1"/>
      <c r="R39" s="1"/>
      <c r="S39" s="1"/>
      <c r="T39" s="1"/>
      <c r="U39" s="1"/>
      <c r="V39" s="1"/>
      <c r="W39" s="1"/>
      <c r="X39" s="1"/>
      <c r="Y39" s="1"/>
      <c r="Z39" s="1"/>
      <c r="AA39" s="1"/>
      <c r="AB39" s="1"/>
    </row>
    <row r="40" ht="14.25" customHeight="1">
      <c r="A40" s="1"/>
      <c r="B40" s="13">
        <v>1.0</v>
      </c>
      <c r="C40" s="14" t="str">
        <f>'5. SOP/MOTHER PICKLIST PRINTING'!C9</f>
        <v>#REF!</v>
      </c>
      <c r="D40" s="15" t="str">
        <f t="shared" ref="D40:E40" si="46">'5. SOP/MOTHER PICKLIST PRINTING'!P9</f>
        <v>#REF!</v>
      </c>
      <c r="E40" s="15" t="str">
        <f t="shared" si="46"/>
        <v>#REF!</v>
      </c>
      <c r="F40" s="16" t="str">
        <f t="shared" ref="F40:G40" si="47">D40/60</f>
        <v>#REF!</v>
      </c>
      <c r="G40" s="16" t="str">
        <f t="shared" si="47"/>
        <v>#REF!</v>
      </c>
      <c r="H40" s="33" t="str">
        <f t="shared" ref="H40:J40" si="48">'5. SOP/MOTHER PICKLIST PRINTING'!R9</f>
        <v>#REF!</v>
      </c>
      <c r="I40" s="52" t="str">
        <f t="shared" si="48"/>
        <v>#REF!</v>
      </c>
      <c r="J40" s="52" t="str">
        <f t="shared" si="48"/>
        <v>#REF!</v>
      </c>
      <c r="K40" s="1"/>
      <c r="L40" s="1"/>
      <c r="M40" s="1"/>
      <c r="N40" s="1"/>
      <c r="O40" s="1"/>
      <c r="P40" s="1"/>
      <c r="Q40" s="1"/>
      <c r="R40" s="1"/>
      <c r="S40" s="1"/>
      <c r="T40" s="1"/>
      <c r="U40" s="1"/>
      <c r="V40" s="1"/>
      <c r="W40" s="1"/>
      <c r="X40" s="1"/>
      <c r="Y40" s="1"/>
      <c r="Z40" s="1"/>
      <c r="AA40" s="1"/>
      <c r="AB40" s="1"/>
    </row>
    <row r="41" ht="14.25" customHeight="1">
      <c r="A41" s="1"/>
      <c r="B41" s="19" t="s">
        <v>10</v>
      </c>
      <c r="C41" s="20"/>
      <c r="D41" s="21" t="str">
        <f t="shared" ref="D41:E41" si="49">SUM(D40)</f>
        <v>#REF!</v>
      </c>
      <c r="E41" s="21" t="str">
        <f t="shared" si="49"/>
        <v>#REF!</v>
      </c>
      <c r="F41" s="22" t="str">
        <f t="shared" ref="F41:G41" si="50">D41/60</f>
        <v>#REF!</v>
      </c>
      <c r="G41" s="22" t="str">
        <f t="shared" si="50"/>
        <v>#REF!</v>
      </c>
      <c r="H41" s="23" t="str">
        <f>sum(H40)</f>
        <v>#REF!</v>
      </c>
      <c r="I41" s="32"/>
      <c r="J41" s="32"/>
      <c r="K41" s="1"/>
      <c r="L41" s="1"/>
      <c r="M41" s="1"/>
      <c r="N41" s="1"/>
      <c r="O41" s="1"/>
      <c r="P41" s="1"/>
      <c r="Q41" s="1"/>
      <c r="R41" s="1"/>
      <c r="S41" s="1"/>
      <c r="T41" s="1"/>
      <c r="U41" s="1"/>
      <c r="V41" s="1"/>
      <c r="W41" s="1"/>
      <c r="X41" s="1"/>
      <c r="Y41" s="1"/>
      <c r="Z41" s="1"/>
      <c r="AA41" s="1"/>
      <c r="AB41" s="1"/>
    </row>
    <row r="42" ht="14.25" customHeight="1">
      <c r="A42" s="1"/>
      <c r="B42" s="1"/>
      <c r="C42" s="1"/>
      <c r="D42" s="2"/>
      <c r="E42" s="2"/>
      <c r="F42" s="1"/>
      <c r="G42" s="1"/>
      <c r="H42" s="3"/>
      <c r="I42" s="1"/>
      <c r="J42" s="1"/>
      <c r="K42" s="1"/>
      <c r="L42" s="1"/>
      <c r="M42" s="1"/>
      <c r="N42" s="1"/>
      <c r="O42" s="1"/>
      <c r="P42" s="1"/>
      <c r="Q42" s="1"/>
      <c r="R42" s="1"/>
      <c r="S42" s="1"/>
      <c r="T42" s="1"/>
      <c r="U42" s="1"/>
      <c r="V42" s="1"/>
      <c r="W42" s="1"/>
      <c r="X42" s="1"/>
      <c r="Y42" s="1"/>
      <c r="Z42" s="1"/>
      <c r="AA42" s="1"/>
      <c r="AB42" s="1"/>
    </row>
    <row r="43" ht="14.25" customHeight="1">
      <c r="A43" s="1"/>
      <c r="B43" s="4" t="s">
        <v>17</v>
      </c>
      <c r="I43" s="5"/>
      <c r="J43" s="5"/>
      <c r="K43" s="1"/>
      <c r="L43" s="1"/>
      <c r="M43" s="1"/>
      <c r="N43" s="1"/>
      <c r="O43" s="1"/>
      <c r="P43" s="1"/>
      <c r="Q43" s="1"/>
      <c r="R43" s="1"/>
      <c r="S43" s="1"/>
      <c r="T43" s="1"/>
      <c r="U43" s="1"/>
      <c r="V43" s="1"/>
      <c r="W43" s="1"/>
      <c r="X43" s="1"/>
      <c r="Y43" s="1"/>
      <c r="Z43" s="1"/>
      <c r="AA43" s="1"/>
      <c r="AB43" s="1"/>
    </row>
    <row r="44" ht="14.25" customHeight="1">
      <c r="A44" s="1"/>
      <c r="B44" s="9" t="s">
        <v>1</v>
      </c>
      <c r="C44" s="9" t="s">
        <v>2</v>
      </c>
      <c r="D44" s="9" t="s">
        <v>3</v>
      </c>
      <c r="E44" s="9" t="s">
        <v>4</v>
      </c>
      <c r="F44" s="9" t="s">
        <v>5</v>
      </c>
      <c r="G44" s="9" t="s">
        <v>6</v>
      </c>
      <c r="H44" s="40" t="s">
        <v>7</v>
      </c>
      <c r="I44" s="9" t="s">
        <v>8</v>
      </c>
      <c r="J44" s="9" t="s">
        <v>9</v>
      </c>
      <c r="K44" s="1"/>
      <c r="L44" s="1"/>
      <c r="M44" s="1"/>
      <c r="N44" s="1"/>
      <c r="O44" s="1"/>
      <c r="P44" s="1"/>
      <c r="Q44" s="1"/>
      <c r="R44" s="1"/>
      <c r="S44" s="1"/>
      <c r="T44" s="1"/>
      <c r="U44" s="1"/>
      <c r="V44" s="1"/>
      <c r="W44" s="1"/>
      <c r="X44" s="1"/>
      <c r="Y44" s="1"/>
      <c r="Z44" s="1"/>
      <c r="AA44" s="1"/>
      <c r="AB44" s="1"/>
    </row>
    <row r="45" ht="14.25" customHeight="1">
      <c r="A45" s="1"/>
      <c r="B45" s="13">
        <v>1.0</v>
      </c>
      <c r="C45" s="14" t="str">
        <f>'6. WAYBILL PRINTING'!C9</f>
        <v>#REF!</v>
      </c>
      <c r="D45" s="15" t="str">
        <f t="shared" ref="D45:E45" si="51">'6. WAYBILL PRINTING'!P9</f>
        <v>#REF!</v>
      </c>
      <c r="E45" s="15" t="str">
        <f t="shared" si="51"/>
        <v>#REF!</v>
      </c>
      <c r="F45" s="16" t="str">
        <f t="shared" ref="F45:G45" si="52">D45/60</f>
        <v>#REF!</v>
      </c>
      <c r="G45" s="16" t="str">
        <f t="shared" si="52"/>
        <v>#REF!</v>
      </c>
      <c r="H45" s="33" t="str">
        <f t="shared" ref="H45:J45" si="53">'6. WAYBILL PRINTING'!R9</f>
        <v>#REF!</v>
      </c>
      <c r="I45" s="53" t="str">
        <f t="shared" si="53"/>
        <v>#REF!</v>
      </c>
      <c r="J45" s="53" t="str">
        <f t="shared" si="53"/>
        <v>#REF!</v>
      </c>
      <c r="K45" s="1"/>
      <c r="L45" s="1"/>
      <c r="M45" s="1"/>
      <c r="N45" s="1"/>
      <c r="O45" s="1"/>
      <c r="P45" s="1"/>
      <c r="Q45" s="1"/>
      <c r="R45" s="1"/>
      <c r="S45" s="1"/>
      <c r="T45" s="1"/>
      <c r="U45" s="1"/>
      <c r="V45" s="1"/>
      <c r="W45" s="1"/>
      <c r="X45" s="1"/>
      <c r="Y45" s="1"/>
      <c r="Z45" s="1"/>
      <c r="AA45" s="1"/>
      <c r="AB45" s="1"/>
    </row>
    <row r="46" ht="14.25" customHeight="1">
      <c r="A46" s="1"/>
      <c r="B46" s="19" t="s">
        <v>10</v>
      </c>
      <c r="C46" s="20"/>
      <c r="D46" s="21" t="str">
        <f t="shared" ref="D46:E46" si="54">SUM(D45)</f>
        <v>#REF!</v>
      </c>
      <c r="E46" s="21" t="str">
        <f t="shared" si="54"/>
        <v>#REF!</v>
      </c>
      <c r="F46" s="22" t="str">
        <f t="shared" ref="F46:G46" si="55">D46/60</f>
        <v>#REF!</v>
      </c>
      <c r="G46" s="22" t="str">
        <f t="shared" si="55"/>
        <v>#REF!</v>
      </c>
      <c r="H46" s="23" t="str">
        <f>sum(H45)</f>
        <v>#REF!</v>
      </c>
      <c r="I46" s="32"/>
      <c r="J46" s="32"/>
      <c r="K46" s="1"/>
      <c r="L46" s="1"/>
      <c r="M46" s="1"/>
      <c r="N46" s="1"/>
      <c r="O46" s="1"/>
      <c r="P46" s="1"/>
      <c r="Q46" s="1"/>
      <c r="R46" s="1"/>
      <c r="S46" s="1"/>
      <c r="T46" s="1"/>
      <c r="U46" s="1"/>
      <c r="V46" s="1"/>
      <c r="W46" s="1"/>
      <c r="X46" s="1"/>
      <c r="Y46" s="1"/>
      <c r="Z46" s="1"/>
      <c r="AA46" s="1"/>
      <c r="AB46" s="1"/>
    </row>
    <row r="47" ht="14.25" customHeight="1">
      <c r="A47" s="1"/>
      <c r="B47" s="1"/>
      <c r="C47" s="1"/>
      <c r="D47" s="2"/>
      <c r="E47" s="2"/>
      <c r="F47" s="1"/>
      <c r="G47" s="1"/>
      <c r="H47" s="3"/>
      <c r="I47" s="1"/>
      <c r="J47" s="1"/>
      <c r="K47" s="1"/>
      <c r="L47" s="1"/>
      <c r="M47" s="1"/>
      <c r="N47" s="1"/>
      <c r="O47" s="1"/>
      <c r="P47" s="1"/>
      <c r="Q47" s="1"/>
      <c r="R47" s="1"/>
      <c r="S47" s="1"/>
      <c r="T47" s="1"/>
      <c r="U47" s="1"/>
      <c r="V47" s="1"/>
      <c r="W47" s="1"/>
      <c r="X47" s="1"/>
      <c r="Y47" s="1"/>
      <c r="Z47" s="1"/>
      <c r="AA47" s="1"/>
      <c r="AB47" s="1"/>
    </row>
    <row r="48" ht="14.25" customHeight="1">
      <c r="A48" s="1"/>
      <c r="B48" s="4" t="s">
        <v>18</v>
      </c>
      <c r="I48" s="5"/>
      <c r="J48" s="5"/>
      <c r="K48" s="1"/>
      <c r="L48" s="1"/>
      <c r="M48" s="1"/>
      <c r="N48" s="1"/>
      <c r="O48" s="1"/>
      <c r="P48" s="1"/>
      <c r="Q48" s="1"/>
      <c r="R48" s="1"/>
      <c r="S48" s="1"/>
      <c r="T48" s="1"/>
      <c r="U48" s="1"/>
      <c r="V48" s="1"/>
      <c r="W48" s="1"/>
      <c r="X48" s="1"/>
      <c r="Y48" s="1"/>
      <c r="Z48" s="1"/>
      <c r="AA48" s="1"/>
      <c r="AB48" s="1"/>
    </row>
    <row r="49" ht="14.25" customHeight="1">
      <c r="A49" s="1"/>
      <c r="B49" s="9" t="s">
        <v>1</v>
      </c>
      <c r="C49" s="9" t="s">
        <v>2</v>
      </c>
      <c r="D49" s="9" t="s">
        <v>3</v>
      </c>
      <c r="E49" s="9" t="s">
        <v>4</v>
      </c>
      <c r="F49" s="9" t="s">
        <v>5</v>
      </c>
      <c r="G49" s="9" t="s">
        <v>6</v>
      </c>
      <c r="H49" s="40" t="s">
        <v>7</v>
      </c>
      <c r="I49" s="9" t="s">
        <v>8</v>
      </c>
      <c r="J49" s="9" t="s">
        <v>9</v>
      </c>
      <c r="K49" s="1"/>
      <c r="L49" s="1"/>
      <c r="M49" s="1"/>
      <c r="N49" s="1"/>
      <c r="O49" s="1"/>
      <c r="P49" s="1"/>
      <c r="Q49" s="1"/>
      <c r="R49" s="1"/>
      <c r="S49" s="1"/>
      <c r="T49" s="1"/>
      <c r="U49" s="1"/>
      <c r="V49" s="1"/>
      <c r="W49" s="1"/>
      <c r="X49" s="1"/>
      <c r="Y49" s="1"/>
      <c r="Z49" s="1"/>
      <c r="AA49" s="1"/>
      <c r="AB49" s="1"/>
    </row>
    <row r="50" ht="14.25" customHeight="1">
      <c r="A50" s="1"/>
      <c r="B50" s="13">
        <v>1.0</v>
      </c>
      <c r="C50" s="14" t="str">
        <f>'7. BULK PICKING'!C9</f>
        <v>#REF!</v>
      </c>
      <c r="D50" s="15" t="str">
        <f t="shared" ref="D50:E50" si="56">'7. BULK PICKING'!P9</f>
        <v>#REF!</v>
      </c>
      <c r="E50" s="15" t="str">
        <f t="shared" si="56"/>
        <v>#REF!</v>
      </c>
      <c r="F50" s="16" t="str">
        <f t="shared" ref="F50:G50" si="57">D50/60</f>
        <v>#REF!</v>
      </c>
      <c r="G50" s="16" t="str">
        <f t="shared" si="57"/>
        <v>#REF!</v>
      </c>
      <c r="H50" s="54" t="str">
        <f t="shared" ref="H50:J50" si="58">'7. BULK PICKING'!R9</f>
        <v>#REF!</v>
      </c>
      <c r="I50" s="18" t="str">
        <f t="shared" si="58"/>
        <v>#REF!</v>
      </c>
      <c r="J50" s="18" t="str">
        <f t="shared" si="58"/>
        <v>#REF!</v>
      </c>
      <c r="K50" s="1"/>
      <c r="L50" s="1"/>
      <c r="M50" s="1"/>
      <c r="N50" s="1"/>
      <c r="O50" s="1"/>
      <c r="P50" s="1"/>
      <c r="Q50" s="1"/>
      <c r="R50" s="1"/>
      <c r="S50" s="1"/>
      <c r="T50" s="1"/>
      <c r="U50" s="1"/>
      <c r="V50" s="1"/>
      <c r="W50" s="1"/>
      <c r="X50" s="1"/>
      <c r="Y50" s="1"/>
      <c r="Z50" s="1"/>
      <c r="AA50" s="1"/>
      <c r="AB50" s="1"/>
    </row>
    <row r="51" ht="14.25" customHeight="1">
      <c r="A51" s="1"/>
      <c r="B51" s="19" t="s">
        <v>10</v>
      </c>
      <c r="C51" s="20"/>
      <c r="D51" s="21" t="str">
        <f t="shared" ref="D51:E51" si="59">SUM(D50)</f>
        <v>#REF!</v>
      </c>
      <c r="E51" s="55" t="str">
        <f t="shared" si="59"/>
        <v>#REF!</v>
      </c>
      <c r="F51" s="22" t="str">
        <f t="shared" ref="F51:G51" si="60">D51/60</f>
        <v>#REF!</v>
      </c>
      <c r="G51" s="22" t="str">
        <f t="shared" si="60"/>
        <v>#REF!</v>
      </c>
      <c r="H51" s="56" t="str">
        <f>sum(H50)</f>
        <v>#REF!</v>
      </c>
      <c r="I51" s="57"/>
      <c r="J51" s="31"/>
      <c r="K51" s="1"/>
      <c r="L51" s="1"/>
      <c r="M51" s="1"/>
      <c r="N51" s="1"/>
      <c r="O51" s="1"/>
      <c r="P51" s="1"/>
      <c r="Q51" s="1"/>
      <c r="R51" s="1"/>
      <c r="S51" s="1"/>
      <c r="T51" s="1"/>
      <c r="U51" s="1"/>
      <c r="V51" s="1"/>
      <c r="W51" s="1"/>
      <c r="X51" s="1"/>
      <c r="Y51" s="1"/>
      <c r="Z51" s="1"/>
      <c r="AA51" s="1"/>
      <c r="AB51" s="1"/>
    </row>
    <row r="52" ht="14.25" customHeight="1">
      <c r="A52" s="1"/>
      <c r="B52" s="1"/>
      <c r="C52" s="1"/>
      <c r="D52" s="2"/>
      <c r="E52" s="2"/>
      <c r="F52" s="1"/>
      <c r="G52" s="1"/>
      <c r="H52" s="3"/>
      <c r="I52" s="1"/>
      <c r="J52" s="1"/>
      <c r="K52" s="1"/>
      <c r="L52" s="1"/>
      <c r="M52" s="1"/>
      <c r="N52" s="1"/>
      <c r="O52" s="1"/>
      <c r="P52" s="1"/>
      <c r="Q52" s="1"/>
      <c r="R52" s="1"/>
      <c r="S52" s="1"/>
      <c r="T52" s="1"/>
      <c r="U52" s="1"/>
      <c r="V52" s="1"/>
      <c r="W52" s="1"/>
      <c r="X52" s="1"/>
      <c r="Y52" s="1"/>
      <c r="Z52" s="1"/>
      <c r="AA52" s="1"/>
      <c r="AB52" s="1"/>
    </row>
    <row r="53" ht="14.25" customHeight="1">
      <c r="A53" s="1"/>
      <c r="B53" s="4" t="s">
        <v>19</v>
      </c>
      <c r="I53" s="5"/>
      <c r="J53" s="5"/>
      <c r="K53" s="1"/>
      <c r="L53" s="1"/>
      <c r="M53" s="1"/>
      <c r="N53" s="1"/>
      <c r="O53" s="1"/>
      <c r="P53" s="1"/>
      <c r="Q53" s="1"/>
      <c r="R53" s="1"/>
      <c r="S53" s="1"/>
      <c r="T53" s="1"/>
      <c r="U53" s="1"/>
      <c r="V53" s="1"/>
      <c r="W53" s="1"/>
      <c r="X53" s="1"/>
      <c r="Y53" s="1"/>
      <c r="Z53" s="1"/>
      <c r="AA53" s="1"/>
      <c r="AB53" s="1"/>
    </row>
    <row r="54" ht="14.25" customHeight="1">
      <c r="A54" s="1"/>
      <c r="B54" s="9" t="s">
        <v>1</v>
      </c>
      <c r="C54" s="9" t="s">
        <v>2</v>
      </c>
      <c r="D54" s="9" t="s">
        <v>3</v>
      </c>
      <c r="E54" s="9" t="s">
        <v>4</v>
      </c>
      <c r="F54" s="40" t="s">
        <v>5</v>
      </c>
      <c r="G54" s="40" t="s">
        <v>6</v>
      </c>
      <c r="H54" s="40" t="s">
        <v>7</v>
      </c>
      <c r="I54" s="9" t="s">
        <v>8</v>
      </c>
      <c r="J54" s="9" t="s">
        <v>9</v>
      </c>
      <c r="K54" s="1"/>
      <c r="L54" s="1"/>
      <c r="M54" s="1"/>
      <c r="N54" s="1"/>
      <c r="O54" s="1"/>
      <c r="P54" s="1"/>
      <c r="Q54" s="1"/>
      <c r="R54" s="1"/>
      <c r="S54" s="1"/>
      <c r="T54" s="1"/>
      <c r="U54" s="1"/>
      <c r="V54" s="1"/>
      <c r="W54" s="1"/>
      <c r="X54" s="1"/>
      <c r="Y54" s="1"/>
      <c r="Z54" s="1"/>
      <c r="AA54" s="1"/>
      <c r="AB54" s="1"/>
    </row>
    <row r="55" ht="14.25" customHeight="1">
      <c r="A55" s="1"/>
      <c r="B55" s="13">
        <v>1.0</v>
      </c>
      <c r="C55" s="14" t="str">
        <f t="shared" ref="C55:C56" si="64">'8. SORTING'!C9</f>
        <v>#REF!</v>
      </c>
      <c r="D55" s="15" t="str">
        <f t="shared" ref="D55:E55" si="61">'8. SORTING'!P9</f>
        <v>#REF!</v>
      </c>
      <c r="E55" s="15" t="str">
        <f t="shared" si="61"/>
        <v>#REF!</v>
      </c>
      <c r="F55" s="58" t="str">
        <f t="shared" ref="F55:G55" si="62">D55/60</f>
        <v>#REF!</v>
      </c>
      <c r="G55" s="58" t="str">
        <f t="shared" si="62"/>
        <v>#REF!</v>
      </c>
      <c r="H55" s="59" t="str">
        <f t="shared" ref="H55:J55" si="63">'8. SORTING'!R9</f>
        <v>#REF!</v>
      </c>
      <c r="I55" s="60" t="str">
        <f t="shared" si="63"/>
        <v>#REF!</v>
      </c>
      <c r="J55" s="60" t="str">
        <f t="shared" si="63"/>
        <v>#REF!</v>
      </c>
      <c r="K55" s="1"/>
      <c r="L55" s="1"/>
      <c r="M55" s="1"/>
      <c r="N55" s="1"/>
      <c r="O55" s="1"/>
      <c r="P55" s="1"/>
      <c r="Q55" s="1"/>
      <c r="R55" s="1"/>
      <c r="S55" s="1"/>
      <c r="T55" s="1"/>
      <c r="U55" s="1"/>
      <c r="V55" s="1"/>
      <c r="W55" s="1"/>
      <c r="X55" s="1"/>
      <c r="Y55" s="1"/>
      <c r="Z55" s="1"/>
      <c r="AA55" s="1"/>
      <c r="AB55" s="1"/>
    </row>
    <row r="56" ht="14.25" customHeight="1">
      <c r="A56" s="1"/>
      <c r="B56" s="13">
        <v>2.0</v>
      </c>
      <c r="C56" s="14" t="str">
        <f t="shared" si="64"/>
        <v>#REF!</v>
      </c>
      <c r="D56" s="15" t="str">
        <f t="shared" ref="D56:E56" si="65">'8. SORTING'!P10</f>
        <v>#REF!</v>
      </c>
      <c r="E56" s="15" t="str">
        <f t="shared" si="65"/>
        <v>#REF!</v>
      </c>
      <c r="F56" s="58" t="str">
        <f t="shared" ref="F56:G56" si="66">D56/60</f>
        <v>#REF!</v>
      </c>
      <c r="G56" s="61" t="str">
        <f t="shared" si="66"/>
        <v>#REF!</v>
      </c>
      <c r="H56" s="33" t="str">
        <f t="shared" ref="H56:J56" si="67">'8. SORTING'!R10</f>
        <v>#REF!</v>
      </c>
      <c r="I56" s="62" t="str">
        <f t="shared" si="67"/>
        <v>#REF!</v>
      </c>
      <c r="J56" s="62" t="str">
        <f t="shared" si="67"/>
        <v>#REF!</v>
      </c>
      <c r="K56" s="1"/>
      <c r="L56" s="1"/>
      <c r="M56" s="1"/>
      <c r="N56" s="1"/>
      <c r="O56" s="1"/>
      <c r="P56" s="1"/>
      <c r="Q56" s="1"/>
      <c r="R56" s="1"/>
      <c r="S56" s="1"/>
      <c r="T56" s="1"/>
      <c r="U56" s="1"/>
      <c r="V56" s="1"/>
      <c r="W56" s="1"/>
      <c r="X56" s="1"/>
      <c r="Y56" s="1"/>
      <c r="Z56" s="1"/>
      <c r="AA56" s="1"/>
      <c r="AB56" s="1"/>
    </row>
    <row r="57" ht="14.25" customHeight="1">
      <c r="A57" s="1"/>
      <c r="B57" s="19" t="s">
        <v>10</v>
      </c>
      <c r="C57" s="20"/>
      <c r="D57" s="21" t="str">
        <f t="shared" ref="D57:E57" si="68">SUM(D55:D56)</f>
        <v>#REF!</v>
      </c>
      <c r="E57" s="21" t="str">
        <f t="shared" si="68"/>
        <v>#REF!</v>
      </c>
      <c r="F57" s="63" t="str">
        <f t="shared" ref="F57:G57" si="69">D57/60</f>
        <v>#REF!</v>
      </c>
      <c r="G57" s="63" t="str">
        <f t="shared" si="69"/>
        <v>#REF!</v>
      </c>
      <c r="H57" s="64" t="str">
        <f>sum(H55:H56)</f>
        <v>#REF!</v>
      </c>
      <c r="I57" s="65"/>
      <c r="J57" s="66"/>
      <c r="K57" s="1"/>
      <c r="L57" s="1"/>
      <c r="M57" s="1"/>
      <c r="N57" s="1"/>
      <c r="O57" s="1"/>
      <c r="P57" s="1"/>
      <c r="Q57" s="1"/>
      <c r="R57" s="1"/>
      <c r="S57" s="1"/>
      <c r="T57" s="1"/>
      <c r="U57" s="1"/>
      <c r="V57" s="1"/>
      <c r="W57" s="1"/>
      <c r="X57" s="1"/>
      <c r="Y57" s="1"/>
      <c r="Z57" s="1"/>
      <c r="AA57" s="1"/>
      <c r="AB57" s="1"/>
    </row>
    <row r="58" ht="14.25" customHeight="1">
      <c r="A58" s="1"/>
      <c r="B58" s="1"/>
      <c r="C58" s="1"/>
      <c r="D58" s="2"/>
      <c r="E58" s="2"/>
      <c r="F58" s="1"/>
      <c r="G58" s="1"/>
      <c r="H58" s="3"/>
      <c r="I58" s="1"/>
      <c r="J58" s="1"/>
      <c r="K58" s="1"/>
      <c r="L58" s="1"/>
      <c r="M58" s="1"/>
      <c r="N58" s="1"/>
      <c r="O58" s="1"/>
      <c r="P58" s="1"/>
      <c r="Q58" s="1"/>
      <c r="R58" s="1"/>
      <c r="S58" s="1"/>
      <c r="T58" s="1"/>
      <c r="U58" s="1"/>
      <c r="V58" s="1"/>
      <c r="W58" s="1"/>
      <c r="X58" s="1"/>
      <c r="Y58" s="1"/>
      <c r="Z58" s="1"/>
      <c r="AA58" s="1"/>
      <c r="AB58" s="1"/>
    </row>
    <row r="59" ht="14.25" customHeight="1">
      <c r="A59" s="1"/>
      <c r="B59" s="1"/>
      <c r="C59" s="1"/>
      <c r="D59" s="2"/>
      <c r="E59" s="2"/>
      <c r="F59" s="1"/>
      <c r="G59" s="1"/>
      <c r="H59" s="3"/>
      <c r="I59" s="1"/>
      <c r="J59" s="1"/>
      <c r="K59" s="1"/>
      <c r="L59" s="1"/>
      <c r="M59" s="1"/>
      <c r="N59" s="1"/>
      <c r="O59" s="1"/>
      <c r="P59" s="1"/>
      <c r="Q59" s="1"/>
      <c r="R59" s="1"/>
      <c r="S59" s="1"/>
      <c r="T59" s="1"/>
      <c r="U59" s="1"/>
      <c r="V59" s="1"/>
      <c r="W59" s="1"/>
      <c r="X59" s="1"/>
      <c r="Y59" s="1"/>
      <c r="Z59" s="1"/>
      <c r="AA59" s="1"/>
      <c r="AB59" s="1"/>
    </row>
    <row r="60" ht="14.25" customHeight="1">
      <c r="A60" s="1"/>
      <c r="B60" s="4" t="s">
        <v>20</v>
      </c>
      <c r="I60" s="5"/>
      <c r="J60" s="5"/>
      <c r="K60" s="1"/>
      <c r="L60" s="1"/>
      <c r="M60" s="1"/>
      <c r="N60" s="1"/>
      <c r="O60" s="1"/>
      <c r="P60" s="1"/>
      <c r="Q60" s="1"/>
      <c r="R60" s="1"/>
      <c r="S60" s="1"/>
      <c r="T60" s="1"/>
      <c r="U60" s="1"/>
      <c r="V60" s="1"/>
      <c r="W60" s="1"/>
      <c r="X60" s="1"/>
      <c r="Y60" s="1"/>
      <c r="Z60" s="1"/>
      <c r="AA60" s="1"/>
      <c r="AB60" s="1"/>
    </row>
    <row r="61" ht="14.25" customHeight="1">
      <c r="A61" s="1"/>
      <c r="B61" s="9" t="s">
        <v>1</v>
      </c>
      <c r="C61" s="9" t="s">
        <v>2</v>
      </c>
      <c r="D61" s="9" t="s">
        <v>3</v>
      </c>
      <c r="E61" s="9" t="s">
        <v>4</v>
      </c>
      <c r="F61" s="9" t="s">
        <v>5</v>
      </c>
      <c r="G61" s="9" t="s">
        <v>6</v>
      </c>
      <c r="H61" s="40" t="s">
        <v>7</v>
      </c>
      <c r="I61" s="9" t="s">
        <v>8</v>
      </c>
      <c r="J61" s="9" t="s">
        <v>9</v>
      </c>
      <c r="K61" s="1"/>
      <c r="L61" s="1"/>
      <c r="M61" s="1"/>
      <c r="N61" s="1"/>
      <c r="O61" s="1"/>
      <c r="P61" s="1"/>
      <c r="Q61" s="1"/>
      <c r="R61" s="1"/>
      <c r="S61" s="1"/>
      <c r="T61" s="1"/>
      <c r="U61" s="1"/>
      <c r="V61" s="1"/>
      <c r="W61" s="1"/>
      <c r="X61" s="1"/>
      <c r="Y61" s="1"/>
      <c r="Z61" s="1"/>
      <c r="AA61" s="1"/>
      <c r="AB61" s="1"/>
    </row>
    <row r="62" ht="14.25" customHeight="1">
      <c r="A62" s="1"/>
      <c r="B62" s="13">
        <v>1.0</v>
      </c>
      <c r="C62" s="14" t="str">
        <f>'8. SORTING'!C45</f>
        <v>#REF!</v>
      </c>
      <c r="D62" s="15" t="str">
        <f t="shared" ref="D62:E62" si="70">'8. SORTING'!P45</f>
        <v>#REF!</v>
      </c>
      <c r="E62" s="15" t="str">
        <f t="shared" si="70"/>
        <v>#REF!</v>
      </c>
      <c r="F62" s="16" t="str">
        <f t="shared" ref="F62:G62" si="71">D62/60</f>
        <v>#REF!</v>
      </c>
      <c r="G62" s="16" t="str">
        <f t="shared" si="71"/>
        <v>#REF!</v>
      </c>
      <c r="H62" s="54" t="str">
        <f t="shared" ref="H62:J62" si="72">'8. SORTING'!R45</f>
        <v>#REF!</v>
      </c>
      <c r="I62" s="62" t="str">
        <f t="shared" si="72"/>
        <v>#REF!</v>
      </c>
      <c r="J62" s="62" t="str">
        <f t="shared" si="72"/>
        <v>#REF!</v>
      </c>
      <c r="K62" s="1"/>
      <c r="L62" s="1"/>
      <c r="M62" s="1"/>
      <c r="N62" s="1"/>
      <c r="O62" s="1"/>
      <c r="P62" s="1"/>
      <c r="Q62" s="1"/>
      <c r="R62" s="1"/>
      <c r="S62" s="1"/>
      <c r="T62" s="1"/>
      <c r="U62" s="1"/>
      <c r="V62" s="1"/>
      <c r="W62" s="1"/>
      <c r="X62" s="1"/>
      <c r="Y62" s="1"/>
      <c r="Z62" s="1"/>
      <c r="AA62" s="1"/>
      <c r="AB62" s="1"/>
    </row>
    <row r="63" ht="14.25" customHeight="1">
      <c r="A63" s="1"/>
      <c r="B63" s="19" t="s">
        <v>10</v>
      </c>
      <c r="C63" s="20"/>
      <c r="D63" s="21" t="str">
        <f t="shared" ref="D63:E63" si="73">SUM(D62)</f>
        <v>#REF!</v>
      </c>
      <c r="E63" s="55" t="str">
        <f t="shared" si="73"/>
        <v>#REF!</v>
      </c>
      <c r="F63" s="22" t="str">
        <f t="shared" ref="F63:G63" si="74">D63/60</f>
        <v>#REF!</v>
      </c>
      <c r="G63" s="22" t="str">
        <f t="shared" si="74"/>
        <v>#REF!</v>
      </c>
      <c r="H63" s="56" t="str">
        <f>sum(H62)</f>
        <v>#REF!</v>
      </c>
      <c r="I63" s="57"/>
      <c r="J63" s="31"/>
      <c r="K63" s="1"/>
      <c r="L63" s="1"/>
      <c r="M63" s="1"/>
      <c r="N63" s="1"/>
      <c r="O63" s="1"/>
      <c r="P63" s="1"/>
      <c r="Q63" s="1"/>
      <c r="R63" s="1"/>
      <c r="S63" s="1"/>
      <c r="T63" s="1"/>
      <c r="U63" s="1"/>
      <c r="V63" s="1"/>
      <c r="W63" s="1"/>
      <c r="X63" s="1"/>
      <c r="Y63" s="1"/>
      <c r="Z63" s="1"/>
      <c r="AA63" s="1"/>
      <c r="AB63" s="1"/>
    </row>
    <row r="64" ht="14.25" customHeight="1">
      <c r="A64" s="1"/>
      <c r="B64" s="4"/>
      <c r="C64" s="4"/>
      <c r="D64" s="4"/>
      <c r="E64" s="4"/>
      <c r="F64" s="4"/>
      <c r="G64" s="4"/>
      <c r="H64" s="51"/>
      <c r="I64" s="5"/>
      <c r="J64" s="5"/>
      <c r="K64" s="1"/>
      <c r="L64" s="1"/>
      <c r="M64" s="1"/>
      <c r="N64" s="1"/>
      <c r="O64" s="1"/>
      <c r="P64" s="1"/>
      <c r="Q64" s="1"/>
      <c r="R64" s="1"/>
      <c r="S64" s="1"/>
      <c r="T64" s="1"/>
      <c r="U64" s="1"/>
      <c r="V64" s="1"/>
      <c r="W64" s="1"/>
      <c r="X64" s="1"/>
      <c r="Y64" s="1"/>
      <c r="Z64" s="1"/>
      <c r="AA64" s="1"/>
      <c r="AB64" s="1"/>
    </row>
    <row r="65" ht="14.25" customHeight="1">
      <c r="A65" s="1"/>
      <c r="B65" s="4" t="s">
        <v>21</v>
      </c>
      <c r="I65" s="5"/>
      <c r="J65" s="5"/>
      <c r="K65" s="1"/>
      <c r="L65" s="1"/>
      <c r="M65" s="1"/>
      <c r="N65" s="1"/>
      <c r="O65" s="1"/>
      <c r="P65" s="1"/>
      <c r="Q65" s="1"/>
      <c r="R65" s="1"/>
      <c r="S65" s="1"/>
      <c r="T65" s="1"/>
      <c r="U65" s="1"/>
      <c r="V65" s="1"/>
      <c r="W65" s="1"/>
      <c r="X65" s="1"/>
      <c r="Y65" s="1"/>
      <c r="Z65" s="1"/>
      <c r="AA65" s="1"/>
      <c r="AB65" s="1"/>
    </row>
    <row r="66" ht="14.25" customHeight="1">
      <c r="A66" s="1"/>
      <c r="B66" s="9" t="s">
        <v>1</v>
      </c>
      <c r="C66" s="9" t="s">
        <v>2</v>
      </c>
      <c r="D66" s="9" t="s">
        <v>3</v>
      </c>
      <c r="E66" s="9" t="s">
        <v>4</v>
      </c>
      <c r="F66" s="9" t="s">
        <v>5</v>
      </c>
      <c r="G66" s="9" t="s">
        <v>6</v>
      </c>
      <c r="H66" s="40" t="s">
        <v>7</v>
      </c>
      <c r="I66" s="9" t="s">
        <v>8</v>
      </c>
      <c r="J66" s="9" t="s">
        <v>9</v>
      </c>
      <c r="K66" s="1"/>
      <c r="L66" s="1"/>
      <c r="M66" s="1"/>
      <c r="N66" s="1"/>
      <c r="O66" s="1"/>
      <c r="P66" s="1"/>
      <c r="Q66" s="1"/>
      <c r="R66" s="1"/>
      <c r="S66" s="1"/>
      <c r="T66" s="1"/>
      <c r="U66" s="1"/>
      <c r="V66" s="1"/>
      <c r="W66" s="1"/>
      <c r="X66" s="1"/>
      <c r="Y66" s="1"/>
      <c r="Z66" s="1"/>
      <c r="AA66" s="1"/>
      <c r="AB66" s="1"/>
    </row>
    <row r="67" ht="14.25" customHeight="1">
      <c r="A67" s="1"/>
      <c r="B67" s="13">
        <v>1.0</v>
      </c>
      <c r="C67" s="14" t="str">
        <f>'9. PICKING'!C8</f>
        <v>#REF!</v>
      </c>
      <c r="D67" s="15" t="str">
        <f t="shared" ref="D67:E67" si="75">'9. PICKING'!P8</f>
        <v>#REF!</v>
      </c>
      <c r="E67" s="15" t="str">
        <f t="shared" si="75"/>
        <v>#REF!</v>
      </c>
      <c r="F67" s="16" t="str">
        <f t="shared" ref="F67:G67" si="76">D67/60</f>
        <v>#REF!</v>
      </c>
      <c r="G67" s="16" t="str">
        <f t="shared" si="76"/>
        <v>#REF!</v>
      </c>
      <c r="H67" s="54" t="str">
        <f t="shared" ref="H67:J67" si="77">'9. PICKING'!R8</f>
        <v>#REF!</v>
      </c>
      <c r="I67" s="53" t="str">
        <f t="shared" si="77"/>
        <v>#REF!</v>
      </c>
      <c r="J67" s="53" t="str">
        <f t="shared" si="77"/>
        <v>#REF!</v>
      </c>
      <c r="K67" s="1"/>
      <c r="L67" s="1"/>
      <c r="M67" s="1"/>
      <c r="N67" s="1"/>
      <c r="O67" s="1"/>
      <c r="P67" s="1"/>
      <c r="Q67" s="1"/>
      <c r="R67" s="1"/>
      <c r="S67" s="1"/>
      <c r="T67" s="1"/>
      <c r="U67" s="1"/>
      <c r="V67" s="1"/>
      <c r="W67" s="1"/>
      <c r="X67" s="1"/>
      <c r="Y67" s="1"/>
      <c r="Z67" s="1"/>
      <c r="AA67" s="1"/>
      <c r="AB67" s="1"/>
    </row>
    <row r="68" ht="14.25" customHeight="1">
      <c r="A68" s="1"/>
      <c r="B68" s="19" t="s">
        <v>10</v>
      </c>
      <c r="C68" s="20"/>
      <c r="D68" s="21" t="str">
        <f t="shared" ref="D68:E68" si="78">SUM(D67)</f>
        <v>#REF!</v>
      </c>
      <c r="E68" s="55" t="str">
        <f t="shared" si="78"/>
        <v>#REF!</v>
      </c>
      <c r="F68" s="22" t="str">
        <f t="shared" ref="F68:G68" si="79">D68/60</f>
        <v>#REF!</v>
      </c>
      <c r="G68" s="22" t="str">
        <f t="shared" si="79"/>
        <v>#REF!</v>
      </c>
      <c r="H68" s="56" t="str">
        <f>sum(H67)</f>
        <v>#REF!</v>
      </c>
      <c r="I68" s="57"/>
      <c r="J68" s="31"/>
      <c r="K68" s="1"/>
      <c r="L68" s="1"/>
      <c r="M68" s="1"/>
      <c r="N68" s="1"/>
      <c r="O68" s="1"/>
      <c r="P68" s="1"/>
      <c r="Q68" s="1"/>
      <c r="R68" s="1"/>
      <c r="S68" s="1"/>
      <c r="T68" s="1"/>
      <c r="U68" s="1"/>
      <c r="V68" s="1"/>
      <c r="W68" s="1"/>
      <c r="X68" s="1"/>
      <c r="Y68" s="1"/>
      <c r="Z68" s="1"/>
      <c r="AA68" s="1"/>
      <c r="AB68" s="1"/>
    </row>
    <row r="69" ht="14.25" customHeight="1">
      <c r="A69" s="1"/>
      <c r="B69" s="1"/>
      <c r="C69" s="1"/>
      <c r="D69" s="2"/>
      <c r="E69" s="2"/>
      <c r="F69" s="1"/>
      <c r="G69" s="1"/>
      <c r="H69" s="3"/>
      <c r="I69" s="1"/>
      <c r="J69" s="1"/>
      <c r="K69" s="1"/>
      <c r="L69" s="1"/>
      <c r="M69" s="1"/>
      <c r="N69" s="1"/>
      <c r="O69" s="1"/>
      <c r="P69" s="1"/>
      <c r="Q69" s="1"/>
      <c r="R69" s="1"/>
      <c r="S69" s="1"/>
      <c r="T69" s="1"/>
      <c r="U69" s="1"/>
      <c r="V69" s="1"/>
      <c r="W69" s="1"/>
      <c r="X69" s="1"/>
      <c r="Y69" s="1"/>
      <c r="Z69" s="1"/>
      <c r="AA69" s="1"/>
      <c r="AB69" s="1"/>
    </row>
    <row r="70" ht="14.25" customHeight="1">
      <c r="A70" s="1"/>
      <c r="B70" s="4" t="s">
        <v>22</v>
      </c>
      <c r="I70" s="5"/>
      <c r="J70" s="5"/>
      <c r="K70" s="1"/>
      <c r="L70" s="1"/>
      <c r="M70" s="1"/>
      <c r="N70" s="1"/>
      <c r="O70" s="1"/>
      <c r="P70" s="1"/>
      <c r="Q70" s="1"/>
      <c r="R70" s="1"/>
      <c r="S70" s="1"/>
      <c r="T70" s="1"/>
      <c r="U70" s="1"/>
      <c r="V70" s="1"/>
      <c r="W70" s="1"/>
      <c r="X70" s="1"/>
      <c r="Y70" s="1"/>
      <c r="Z70" s="1"/>
      <c r="AA70" s="1"/>
      <c r="AB70" s="1"/>
    </row>
    <row r="71" ht="14.25" customHeight="1">
      <c r="A71" s="1"/>
      <c r="B71" s="9" t="s">
        <v>1</v>
      </c>
      <c r="C71" s="9" t="s">
        <v>2</v>
      </c>
      <c r="D71" s="9" t="s">
        <v>3</v>
      </c>
      <c r="E71" s="9" t="s">
        <v>4</v>
      </c>
      <c r="F71" s="9" t="s">
        <v>5</v>
      </c>
      <c r="G71" s="9" t="s">
        <v>6</v>
      </c>
      <c r="H71" s="40" t="s">
        <v>7</v>
      </c>
      <c r="I71" s="9" t="s">
        <v>8</v>
      </c>
      <c r="J71" s="9" t="s">
        <v>9</v>
      </c>
      <c r="K71" s="1"/>
      <c r="L71" s="1"/>
      <c r="M71" s="1"/>
      <c r="N71" s="1"/>
      <c r="O71" s="1"/>
      <c r="P71" s="1"/>
      <c r="Q71" s="1"/>
      <c r="R71" s="1"/>
      <c r="S71" s="1"/>
      <c r="T71" s="1"/>
      <c r="U71" s="1"/>
      <c r="V71" s="1"/>
      <c r="W71" s="1"/>
      <c r="X71" s="1"/>
      <c r="Y71" s="1"/>
      <c r="Z71" s="1"/>
      <c r="AA71" s="1"/>
      <c r="AB71" s="1"/>
    </row>
    <row r="72" ht="14.25" customHeight="1">
      <c r="A72" s="1"/>
      <c r="B72" s="13">
        <v>1.0</v>
      </c>
      <c r="C72" s="14" t="str">
        <f t="shared" ref="C72:C73" si="83">'9. PICKING'!C41</f>
        <v>#REF!</v>
      </c>
      <c r="D72" s="15" t="str">
        <f t="shared" ref="D72:E72" si="80">'9. PICKING'!P41</f>
        <v>#REF!</v>
      </c>
      <c r="E72" s="15" t="str">
        <f t="shared" si="80"/>
        <v>#REF!</v>
      </c>
      <c r="F72" s="16" t="str">
        <f t="shared" ref="F72:G72" si="81">D72/60</f>
        <v>#REF!</v>
      </c>
      <c r="G72" s="16" t="str">
        <f t="shared" si="81"/>
        <v>#REF!</v>
      </c>
      <c r="H72" s="33" t="str">
        <f t="shared" ref="H72:J72" si="82">'9. PICKING'!R41</f>
        <v>#REF!</v>
      </c>
      <c r="I72" s="53" t="str">
        <f t="shared" si="82"/>
        <v>#REF!</v>
      </c>
      <c r="J72" s="53" t="str">
        <f t="shared" si="82"/>
        <v>#REF!</v>
      </c>
      <c r="K72" s="1"/>
      <c r="L72" s="1"/>
      <c r="M72" s="1"/>
      <c r="N72" s="1"/>
      <c r="O72" s="1"/>
      <c r="P72" s="1"/>
      <c r="Q72" s="1"/>
      <c r="R72" s="1"/>
      <c r="S72" s="1"/>
      <c r="T72" s="1"/>
      <c r="U72" s="1"/>
      <c r="V72" s="1"/>
      <c r="W72" s="1"/>
      <c r="X72" s="1"/>
      <c r="Y72" s="1"/>
      <c r="Z72" s="1"/>
      <c r="AA72" s="1"/>
      <c r="AB72" s="1"/>
    </row>
    <row r="73" ht="14.25" customHeight="1">
      <c r="A73" s="1"/>
      <c r="B73" s="13">
        <v>2.0</v>
      </c>
      <c r="C73" s="14" t="str">
        <f t="shared" si="83"/>
        <v>#REF!</v>
      </c>
      <c r="D73" s="15" t="str">
        <f t="shared" ref="D73:E73" si="84">'9. PICKING'!P42</f>
        <v>#REF!</v>
      </c>
      <c r="E73" s="15" t="str">
        <f t="shared" si="84"/>
        <v>#REF!</v>
      </c>
      <c r="F73" s="16" t="str">
        <f t="shared" ref="F73:G73" si="85">D73/60</f>
        <v>#REF!</v>
      </c>
      <c r="G73" s="16" t="str">
        <f t="shared" si="85"/>
        <v>#REF!</v>
      </c>
      <c r="H73" s="34" t="str">
        <f t="shared" ref="H73:J73" si="86">'9. PICKING'!R42</f>
        <v>#REF!</v>
      </c>
      <c r="I73" s="52" t="str">
        <f t="shared" si="86"/>
        <v>#REF!</v>
      </c>
      <c r="J73" s="53" t="str">
        <f t="shared" si="86"/>
        <v>#REF!</v>
      </c>
      <c r="K73" s="1"/>
      <c r="L73" s="1"/>
      <c r="M73" s="1"/>
      <c r="N73" s="1"/>
      <c r="O73" s="1"/>
      <c r="P73" s="1"/>
      <c r="Q73" s="1"/>
      <c r="R73" s="1"/>
      <c r="S73" s="1"/>
      <c r="T73" s="1"/>
      <c r="U73" s="1"/>
      <c r="V73" s="1"/>
      <c r="W73" s="1"/>
      <c r="X73" s="1"/>
      <c r="Y73" s="1"/>
      <c r="Z73" s="1"/>
      <c r="AA73" s="1"/>
      <c r="AB73" s="1"/>
    </row>
    <row r="74" ht="14.25" customHeight="1">
      <c r="A74" s="1"/>
      <c r="B74" s="19" t="s">
        <v>10</v>
      </c>
      <c r="C74" s="20"/>
      <c r="D74" s="21" t="str">
        <f t="shared" ref="D74:E74" si="87">SUM(D72:D73)</f>
        <v>#REF!</v>
      </c>
      <c r="E74" s="21" t="str">
        <f t="shared" si="87"/>
        <v>#REF!</v>
      </c>
      <c r="F74" s="22" t="str">
        <f t="shared" ref="F74:G74" si="88">D74/60</f>
        <v>#REF!</v>
      </c>
      <c r="G74" s="22" t="str">
        <f t="shared" si="88"/>
        <v>#REF!</v>
      </c>
      <c r="H74" s="56" t="str">
        <f>sum(H72:H73)</f>
        <v>#REF!</v>
      </c>
      <c r="I74" s="57"/>
      <c r="J74" s="31"/>
      <c r="K74" s="1"/>
      <c r="L74" s="1"/>
      <c r="M74" s="1"/>
      <c r="N74" s="1"/>
      <c r="O74" s="1"/>
      <c r="P74" s="1"/>
      <c r="Q74" s="1"/>
      <c r="R74" s="1"/>
      <c r="S74" s="1"/>
      <c r="T74" s="1"/>
      <c r="U74" s="1"/>
      <c r="V74" s="1"/>
      <c r="W74" s="1"/>
      <c r="X74" s="1"/>
      <c r="Y74" s="1"/>
      <c r="Z74" s="1"/>
      <c r="AA74" s="1"/>
      <c r="AB74" s="1"/>
    </row>
    <row r="75" ht="14.25" customHeight="1">
      <c r="A75" s="1"/>
      <c r="B75" s="1"/>
      <c r="C75" s="1"/>
      <c r="D75" s="2"/>
      <c r="E75" s="2"/>
      <c r="F75" s="1"/>
      <c r="G75" s="1"/>
      <c r="H75" s="3"/>
      <c r="I75" s="1"/>
      <c r="J75" s="1"/>
      <c r="K75" s="1"/>
      <c r="L75" s="1"/>
      <c r="M75" s="1"/>
      <c r="N75" s="1"/>
      <c r="O75" s="1"/>
      <c r="P75" s="1"/>
      <c r="Q75" s="1"/>
      <c r="R75" s="1"/>
      <c r="S75" s="1"/>
      <c r="T75" s="1"/>
      <c r="U75" s="1"/>
      <c r="V75" s="1"/>
      <c r="W75" s="1"/>
      <c r="X75" s="1"/>
      <c r="Y75" s="1"/>
      <c r="Z75" s="1"/>
      <c r="AA75" s="1"/>
      <c r="AB75" s="1"/>
    </row>
    <row r="76" ht="14.25" customHeight="1">
      <c r="A76" s="1"/>
      <c r="B76" s="4" t="s">
        <v>23</v>
      </c>
      <c r="I76" s="5"/>
      <c r="J76" s="5"/>
      <c r="K76" s="1"/>
      <c r="L76" s="1"/>
      <c r="M76" s="1"/>
      <c r="N76" s="1"/>
      <c r="O76" s="1"/>
      <c r="P76" s="1"/>
      <c r="Q76" s="1"/>
      <c r="R76" s="1"/>
      <c r="S76" s="1"/>
      <c r="T76" s="1"/>
      <c r="U76" s="1"/>
      <c r="V76" s="1"/>
      <c r="W76" s="1"/>
      <c r="X76" s="1"/>
      <c r="Y76" s="1"/>
      <c r="Z76" s="1"/>
      <c r="AA76" s="1"/>
      <c r="AB76" s="1"/>
    </row>
    <row r="77" ht="14.25" customHeight="1">
      <c r="A77" s="1"/>
      <c r="B77" s="9" t="s">
        <v>1</v>
      </c>
      <c r="C77" s="9" t="s">
        <v>2</v>
      </c>
      <c r="D77" s="9" t="s">
        <v>3</v>
      </c>
      <c r="E77" s="9" t="s">
        <v>4</v>
      </c>
      <c r="F77" s="9" t="s">
        <v>5</v>
      </c>
      <c r="G77" s="9" t="s">
        <v>6</v>
      </c>
      <c r="H77" s="40" t="s">
        <v>7</v>
      </c>
      <c r="I77" s="9" t="s">
        <v>8</v>
      </c>
      <c r="J77" s="9" t="s">
        <v>9</v>
      </c>
      <c r="K77" s="1"/>
      <c r="L77" s="1"/>
      <c r="M77" s="1"/>
      <c r="N77" s="1"/>
      <c r="O77" s="1"/>
      <c r="P77" s="1"/>
      <c r="Q77" s="1"/>
      <c r="R77" s="1"/>
      <c r="S77" s="1"/>
      <c r="T77" s="1"/>
      <c r="U77" s="1"/>
      <c r="V77" s="1"/>
      <c r="W77" s="1"/>
      <c r="X77" s="1"/>
      <c r="Y77" s="1"/>
      <c r="Z77" s="1"/>
      <c r="AA77" s="1"/>
      <c r="AB77" s="1"/>
    </row>
    <row r="78" ht="14.25" customHeight="1">
      <c r="A78" s="1"/>
      <c r="B78" s="13">
        <v>1.0</v>
      </c>
      <c r="C78" s="14" t="str">
        <f t="shared" ref="C78:C79" si="92">'9. PICKING'!C79</f>
        <v>#REF!</v>
      </c>
      <c r="D78" s="15" t="str">
        <f t="shared" ref="D78:E78" si="89">'9. PICKING'!P79</f>
        <v>#REF!</v>
      </c>
      <c r="E78" s="15" t="str">
        <f t="shared" si="89"/>
        <v>#REF!</v>
      </c>
      <c r="F78" s="16" t="str">
        <f t="shared" ref="F78:G78" si="90">D78/60</f>
        <v>#REF!</v>
      </c>
      <c r="G78" s="16" t="str">
        <f t="shared" si="90"/>
        <v>#REF!</v>
      </c>
      <c r="H78" s="33" t="str">
        <f t="shared" ref="H78:J78" si="91">'9. PICKING'!R79</f>
        <v>#REF!</v>
      </c>
      <c r="I78" s="53" t="str">
        <f t="shared" si="91"/>
        <v>#REF!</v>
      </c>
      <c r="J78" s="53" t="str">
        <f t="shared" si="91"/>
        <v>#REF!</v>
      </c>
      <c r="K78" s="1"/>
      <c r="L78" s="1"/>
      <c r="M78" s="1"/>
      <c r="N78" s="1"/>
      <c r="O78" s="1"/>
      <c r="P78" s="1"/>
      <c r="Q78" s="1"/>
      <c r="R78" s="1"/>
      <c r="S78" s="1"/>
      <c r="T78" s="1"/>
      <c r="U78" s="1"/>
      <c r="V78" s="1"/>
      <c r="W78" s="1"/>
      <c r="X78" s="1"/>
      <c r="Y78" s="1"/>
      <c r="Z78" s="1"/>
      <c r="AA78" s="1"/>
      <c r="AB78" s="1"/>
    </row>
    <row r="79" ht="14.25" customHeight="1">
      <c r="A79" s="1"/>
      <c r="B79" s="13">
        <v>2.0</v>
      </c>
      <c r="C79" s="14" t="str">
        <f t="shared" si="92"/>
        <v>#REF!</v>
      </c>
      <c r="D79" s="15" t="str">
        <f t="shared" ref="D79:E79" si="93">'9. PICKING'!P80</f>
        <v>#REF!</v>
      </c>
      <c r="E79" s="15" t="str">
        <f t="shared" si="93"/>
        <v>#REF!</v>
      </c>
      <c r="F79" s="16" t="str">
        <f t="shared" ref="F79:G79" si="94">D79/60</f>
        <v>#REF!</v>
      </c>
      <c r="G79" s="16" t="str">
        <f t="shared" si="94"/>
        <v>#REF!</v>
      </c>
      <c r="H79" s="34" t="str">
        <f t="shared" ref="H79:J79" si="95">'9. PICKING'!R80</f>
        <v>#REF!</v>
      </c>
      <c r="I79" s="53" t="str">
        <f t="shared" si="95"/>
        <v>#REF!</v>
      </c>
      <c r="J79" s="53" t="str">
        <f t="shared" si="95"/>
        <v>#REF!</v>
      </c>
      <c r="K79" s="1"/>
      <c r="L79" s="1"/>
      <c r="M79" s="1"/>
      <c r="N79" s="1"/>
      <c r="O79" s="1"/>
      <c r="P79" s="1"/>
      <c r="Q79" s="1"/>
      <c r="R79" s="1"/>
      <c r="S79" s="1"/>
      <c r="T79" s="1"/>
      <c r="U79" s="1"/>
      <c r="V79" s="1"/>
      <c r="W79" s="1"/>
      <c r="X79" s="1"/>
      <c r="Y79" s="1"/>
      <c r="Z79" s="1"/>
      <c r="AA79" s="1"/>
      <c r="AB79" s="1"/>
    </row>
    <row r="80" ht="14.25" customHeight="1">
      <c r="A80" s="1"/>
      <c r="B80" s="19" t="s">
        <v>10</v>
      </c>
      <c r="C80" s="20"/>
      <c r="D80" s="21" t="str">
        <f t="shared" ref="D80:E80" si="96">SUM(D78:D79)</f>
        <v>#REF!</v>
      </c>
      <c r="E80" s="21" t="str">
        <f t="shared" si="96"/>
        <v>#REF!</v>
      </c>
      <c r="F80" s="22" t="str">
        <f t="shared" ref="F80:G80" si="97">D80/60</f>
        <v>#REF!</v>
      </c>
      <c r="G80" s="22" t="str">
        <f t="shared" si="97"/>
        <v>#REF!</v>
      </c>
      <c r="H80" s="56" t="str">
        <f>sum(H78:H79)</f>
        <v>#REF!</v>
      </c>
      <c r="I80" s="57"/>
      <c r="J80" s="31"/>
      <c r="K80" s="1"/>
      <c r="L80" s="1"/>
      <c r="M80" s="1"/>
      <c r="N80" s="1"/>
      <c r="O80" s="1"/>
      <c r="P80" s="1"/>
      <c r="Q80" s="1"/>
      <c r="R80" s="1"/>
      <c r="S80" s="1"/>
      <c r="T80" s="1"/>
      <c r="U80" s="1"/>
      <c r="V80" s="1"/>
      <c r="W80" s="1"/>
      <c r="X80" s="1"/>
      <c r="Y80" s="1"/>
      <c r="Z80" s="1"/>
      <c r="AA80" s="1"/>
      <c r="AB80" s="1"/>
    </row>
    <row r="81" ht="14.25" customHeight="1">
      <c r="A81" s="1"/>
      <c r="B81" s="1"/>
      <c r="C81" s="1"/>
      <c r="D81" s="2"/>
      <c r="E81" s="2"/>
      <c r="F81" s="1"/>
      <c r="G81" s="1"/>
      <c r="H81" s="3"/>
      <c r="I81" s="1"/>
      <c r="J81" s="1"/>
      <c r="K81" s="1"/>
      <c r="L81" s="1"/>
      <c r="M81" s="1"/>
      <c r="N81" s="1"/>
      <c r="O81" s="1"/>
      <c r="P81" s="1"/>
      <c r="Q81" s="1"/>
      <c r="R81" s="1"/>
      <c r="S81" s="1"/>
      <c r="T81" s="1"/>
      <c r="U81" s="1"/>
      <c r="V81" s="1"/>
      <c r="W81" s="1"/>
      <c r="X81" s="1"/>
      <c r="Y81" s="1"/>
      <c r="Z81" s="1"/>
      <c r="AA81" s="1"/>
      <c r="AB81" s="1"/>
    </row>
    <row r="82" ht="14.25" customHeight="1">
      <c r="A82" s="1"/>
      <c r="B82" s="4" t="s">
        <v>24</v>
      </c>
      <c r="I82" s="5"/>
      <c r="J82" s="5"/>
      <c r="K82" s="1"/>
      <c r="L82" s="1"/>
      <c r="M82" s="1"/>
      <c r="N82" s="1"/>
      <c r="O82" s="1"/>
      <c r="P82" s="1"/>
      <c r="Q82" s="1"/>
      <c r="R82" s="1"/>
      <c r="S82" s="1"/>
      <c r="T82" s="1"/>
      <c r="U82" s="1"/>
      <c r="V82" s="1"/>
      <c r="W82" s="1"/>
      <c r="X82" s="1"/>
      <c r="Y82" s="1"/>
      <c r="Z82" s="1"/>
      <c r="AA82" s="1"/>
      <c r="AB82" s="1"/>
    </row>
    <row r="83" ht="14.25" customHeight="1">
      <c r="A83" s="1"/>
      <c r="B83" s="9" t="s">
        <v>1</v>
      </c>
      <c r="C83" s="9" t="s">
        <v>2</v>
      </c>
      <c r="D83" s="9" t="s">
        <v>3</v>
      </c>
      <c r="E83" s="9" t="s">
        <v>4</v>
      </c>
      <c r="F83" s="9" t="s">
        <v>5</v>
      </c>
      <c r="G83" s="9" t="s">
        <v>6</v>
      </c>
      <c r="H83" s="40" t="s">
        <v>7</v>
      </c>
      <c r="I83" s="9" t="s">
        <v>8</v>
      </c>
      <c r="J83" s="9" t="s">
        <v>9</v>
      </c>
      <c r="K83" s="1"/>
      <c r="L83" s="1"/>
      <c r="M83" s="1"/>
      <c r="N83" s="1"/>
      <c r="O83" s="1"/>
      <c r="P83" s="1"/>
      <c r="Q83" s="1"/>
      <c r="R83" s="1"/>
      <c r="S83" s="1"/>
      <c r="T83" s="1"/>
      <c r="U83" s="1"/>
      <c r="V83" s="1"/>
      <c r="W83" s="1"/>
      <c r="X83" s="1"/>
      <c r="Y83" s="1"/>
      <c r="Z83" s="1"/>
      <c r="AA83" s="1"/>
      <c r="AB83" s="1"/>
    </row>
    <row r="84" ht="14.25" customHeight="1">
      <c r="A84" s="1"/>
      <c r="B84" s="13">
        <v>1.0</v>
      </c>
      <c r="C84" s="14" t="str">
        <f t="shared" ref="C84:C85" si="101">'9. PICKING'!C123</f>
        <v>#REF!</v>
      </c>
      <c r="D84" s="15" t="str">
        <f t="shared" ref="D84:E84" si="98">'9. PICKING'!P123</f>
        <v>#REF!</v>
      </c>
      <c r="E84" s="15" t="str">
        <f t="shared" si="98"/>
        <v>#REF!</v>
      </c>
      <c r="F84" s="16" t="str">
        <f t="shared" ref="F84:G84" si="99">D84/60</f>
        <v>#REF!</v>
      </c>
      <c r="G84" s="16" t="str">
        <f t="shared" si="99"/>
        <v>#REF!</v>
      </c>
      <c r="H84" s="33" t="str">
        <f t="shared" ref="H84:J84" si="100">'9. PICKING'!R123</f>
        <v>#REF!</v>
      </c>
      <c r="I84" s="53" t="str">
        <f t="shared" si="100"/>
        <v>#REF!</v>
      </c>
      <c r="J84" s="53" t="str">
        <f t="shared" si="100"/>
        <v>#REF!</v>
      </c>
      <c r="K84" s="1"/>
      <c r="L84" s="1"/>
      <c r="M84" s="1"/>
      <c r="N84" s="1"/>
      <c r="O84" s="1"/>
      <c r="P84" s="1"/>
      <c r="Q84" s="1"/>
      <c r="R84" s="1"/>
      <c r="S84" s="1"/>
      <c r="T84" s="1"/>
      <c r="U84" s="1"/>
      <c r="V84" s="1"/>
      <c r="W84" s="1"/>
      <c r="X84" s="1"/>
      <c r="Y84" s="1"/>
      <c r="Z84" s="1"/>
      <c r="AA84" s="1"/>
      <c r="AB84" s="1"/>
    </row>
    <row r="85" ht="14.25" customHeight="1">
      <c r="A85" s="1"/>
      <c r="B85" s="13">
        <v>2.0</v>
      </c>
      <c r="C85" s="14" t="str">
        <f t="shared" si="101"/>
        <v>#REF!</v>
      </c>
      <c r="D85" s="15" t="str">
        <f t="shared" ref="D85:E85" si="102">'9. PICKING'!P124</f>
        <v>#REF!</v>
      </c>
      <c r="E85" s="15" t="str">
        <f t="shared" si="102"/>
        <v>#REF!</v>
      </c>
      <c r="F85" s="16" t="str">
        <f t="shared" ref="F85:G85" si="103">D85/60</f>
        <v>#REF!</v>
      </c>
      <c r="G85" s="16" t="str">
        <f t="shared" si="103"/>
        <v>#REF!</v>
      </c>
      <c r="H85" s="34" t="str">
        <f t="shared" ref="H85:J85" si="104">'9. PICKING'!R124</f>
        <v>#REF!</v>
      </c>
      <c r="I85" s="62" t="str">
        <f t="shared" si="104"/>
        <v>#REF!</v>
      </c>
      <c r="J85" s="62" t="str">
        <f t="shared" si="104"/>
        <v>#REF!</v>
      </c>
      <c r="K85" s="1"/>
      <c r="L85" s="1"/>
      <c r="M85" s="1"/>
      <c r="N85" s="1"/>
      <c r="O85" s="1"/>
      <c r="P85" s="1"/>
      <c r="Q85" s="1"/>
      <c r="R85" s="1"/>
      <c r="S85" s="1"/>
      <c r="T85" s="1"/>
      <c r="U85" s="1"/>
      <c r="V85" s="1"/>
      <c r="W85" s="1"/>
      <c r="X85" s="1"/>
      <c r="Y85" s="1"/>
      <c r="Z85" s="1"/>
      <c r="AA85" s="1"/>
      <c r="AB85" s="1"/>
    </row>
    <row r="86" ht="14.25" customHeight="1">
      <c r="A86" s="1"/>
      <c r="B86" s="19" t="s">
        <v>10</v>
      </c>
      <c r="C86" s="20"/>
      <c r="D86" s="21" t="str">
        <f t="shared" ref="D86:E86" si="105">SUM(D84:D85)</f>
        <v>#REF!</v>
      </c>
      <c r="E86" s="21" t="str">
        <f t="shared" si="105"/>
        <v>#REF!</v>
      </c>
      <c r="F86" s="22" t="str">
        <f t="shared" ref="F86:G86" si="106">D86/60</f>
        <v>#REF!</v>
      </c>
      <c r="G86" s="22" t="str">
        <f t="shared" si="106"/>
        <v>#REF!</v>
      </c>
      <c r="H86" s="56" t="str">
        <f>sum(H84:H85)</f>
        <v>#REF!</v>
      </c>
      <c r="I86" s="57"/>
      <c r="J86" s="31"/>
      <c r="K86" s="1"/>
      <c r="L86" s="1"/>
      <c r="M86" s="1"/>
      <c r="N86" s="1"/>
      <c r="O86" s="1"/>
      <c r="P86" s="1"/>
      <c r="Q86" s="1"/>
      <c r="R86" s="1"/>
      <c r="S86" s="1"/>
      <c r="T86" s="1"/>
      <c r="U86" s="1"/>
      <c r="V86" s="1"/>
      <c r="W86" s="1"/>
      <c r="X86" s="1"/>
      <c r="Y86" s="1"/>
      <c r="Z86" s="1"/>
      <c r="AA86" s="1"/>
      <c r="AB86" s="1"/>
    </row>
    <row r="87" ht="14.25" customHeight="1">
      <c r="A87" s="1"/>
      <c r="B87" s="1"/>
      <c r="C87" s="1"/>
      <c r="D87" s="2"/>
      <c r="E87" s="2"/>
      <c r="F87" s="1"/>
      <c r="G87" s="1"/>
      <c r="H87" s="3"/>
      <c r="I87" s="1"/>
      <c r="J87" s="1"/>
      <c r="K87" s="1"/>
      <c r="L87" s="1"/>
      <c r="M87" s="1"/>
      <c r="N87" s="1"/>
      <c r="O87" s="1"/>
      <c r="P87" s="1"/>
      <c r="Q87" s="1"/>
      <c r="R87" s="1"/>
      <c r="S87" s="1"/>
      <c r="T87" s="1"/>
      <c r="U87" s="1"/>
      <c r="V87" s="1"/>
      <c r="W87" s="1"/>
      <c r="X87" s="1"/>
      <c r="Y87" s="1"/>
      <c r="Z87" s="1"/>
      <c r="AA87" s="1"/>
      <c r="AB87" s="1"/>
    </row>
    <row r="88" ht="14.25" customHeight="1">
      <c r="A88" s="1"/>
      <c r="B88" s="36" t="s">
        <v>25</v>
      </c>
      <c r="C88" s="37"/>
      <c r="D88" s="37"/>
      <c r="E88" s="37"/>
      <c r="F88" s="37"/>
      <c r="G88" s="37"/>
      <c r="H88" s="37"/>
      <c r="I88" s="38"/>
      <c r="J88" s="38"/>
      <c r="K88" s="1"/>
      <c r="L88" s="1"/>
      <c r="M88" s="1"/>
      <c r="N88" s="1"/>
      <c r="O88" s="1"/>
      <c r="P88" s="1"/>
      <c r="Q88" s="1"/>
      <c r="R88" s="1"/>
      <c r="S88" s="1"/>
      <c r="T88" s="1"/>
      <c r="U88" s="1"/>
      <c r="V88" s="1"/>
      <c r="W88" s="1"/>
      <c r="X88" s="1"/>
      <c r="Y88" s="1"/>
      <c r="Z88" s="1"/>
      <c r="AA88" s="1"/>
      <c r="AB88" s="1"/>
    </row>
    <row r="89" ht="14.25" customHeight="1">
      <c r="A89" s="1"/>
      <c r="B89" s="9" t="s">
        <v>1</v>
      </c>
      <c r="C89" s="9" t="s">
        <v>2</v>
      </c>
      <c r="D89" s="9" t="s">
        <v>3</v>
      </c>
      <c r="E89" s="9" t="s">
        <v>4</v>
      </c>
      <c r="F89" s="9" t="s">
        <v>5</v>
      </c>
      <c r="G89" s="9" t="s">
        <v>6</v>
      </c>
      <c r="H89" s="40" t="s">
        <v>7</v>
      </c>
      <c r="I89" s="9" t="s">
        <v>8</v>
      </c>
      <c r="J89" s="9" t="s">
        <v>9</v>
      </c>
      <c r="K89" s="1"/>
      <c r="L89" s="1"/>
      <c r="M89" s="1"/>
      <c r="N89" s="1"/>
      <c r="O89" s="1"/>
      <c r="P89" s="1"/>
      <c r="Q89" s="1"/>
      <c r="R89" s="1"/>
      <c r="S89" s="1"/>
      <c r="T89" s="1"/>
      <c r="U89" s="1"/>
      <c r="V89" s="1"/>
      <c r="W89" s="1"/>
      <c r="X89" s="1"/>
      <c r="Y89" s="1"/>
      <c r="Z89" s="1"/>
      <c r="AA89" s="1"/>
      <c r="AB89" s="1"/>
    </row>
    <row r="90" ht="14.25" customHeight="1">
      <c r="A90" s="1"/>
      <c r="B90" s="32">
        <v>1.0</v>
      </c>
      <c r="C90" s="67" t="str">
        <f>'10. QUALITY CHECKING'!C9</f>
        <v>Checking Items According to the Picklist
   -(PO,Name of Customers,SKU of item,Quantity,Sign the Picklist)
   -Transfer Basket to Q.C 3</v>
      </c>
      <c r="D90" s="43" t="str">
        <f t="shared" ref="D90:E90" si="107">'10. QUALITY CHECKING-REVISED'!P45</f>
        <v>#REF!</v>
      </c>
      <c r="E90" s="43" t="str">
        <f t="shared" si="107"/>
        <v>#REF!</v>
      </c>
      <c r="F90" s="16" t="str">
        <f t="shared" ref="F90:G90" si="108">D90/60</f>
        <v>#REF!</v>
      </c>
      <c r="G90" s="16" t="str">
        <f t="shared" si="108"/>
        <v>#REF!</v>
      </c>
      <c r="H90" s="33" t="str">
        <f t="shared" ref="H90:J90" si="109">'10. QUALITY CHECKING-REVISED'!R45</f>
        <v>#REF!</v>
      </c>
      <c r="I90" s="68" t="str">
        <f t="shared" si="109"/>
        <v>#REF!</v>
      </c>
      <c r="J90" s="68" t="str">
        <f t="shared" si="109"/>
        <v>#REF!</v>
      </c>
      <c r="K90" s="1"/>
      <c r="L90" s="1"/>
      <c r="M90" s="1"/>
      <c r="N90" s="1"/>
      <c r="O90" s="1"/>
      <c r="P90" s="1"/>
      <c r="Q90" s="1"/>
      <c r="R90" s="1"/>
      <c r="S90" s="1"/>
      <c r="T90" s="1"/>
      <c r="U90" s="1"/>
      <c r="V90" s="1"/>
      <c r="W90" s="1"/>
      <c r="X90" s="1"/>
      <c r="Y90" s="1"/>
      <c r="Z90" s="1"/>
      <c r="AA90" s="1"/>
      <c r="AB90" s="1"/>
    </row>
    <row r="91" ht="14.25" customHeight="1">
      <c r="A91" s="1"/>
      <c r="B91" s="69" t="s">
        <v>10</v>
      </c>
      <c r="C91" s="47"/>
      <c r="D91" s="70" t="str">
        <f t="shared" ref="D91:E91" si="110">SUM(D90)</f>
        <v>#REF!</v>
      </c>
      <c r="E91" s="70" t="str">
        <f t="shared" si="110"/>
        <v>#REF!</v>
      </c>
      <c r="F91" s="22" t="str">
        <f t="shared" ref="F91:G91" si="111">D91/60</f>
        <v>#REF!</v>
      </c>
      <c r="G91" s="22" t="str">
        <f t="shared" si="111"/>
        <v>#REF!</v>
      </c>
      <c r="H91" s="71" t="str">
        <f>sum(H90)</f>
        <v>#REF!</v>
      </c>
      <c r="I91" s="72"/>
      <c r="J91" s="72"/>
      <c r="K91" s="1"/>
      <c r="L91" s="1"/>
      <c r="M91" s="1"/>
      <c r="N91" s="1"/>
      <c r="O91" s="1"/>
      <c r="P91" s="1"/>
      <c r="Q91" s="1"/>
      <c r="R91" s="1"/>
      <c r="S91" s="1"/>
      <c r="T91" s="1"/>
      <c r="U91" s="1"/>
      <c r="V91" s="1"/>
      <c r="W91" s="1"/>
      <c r="X91" s="1"/>
      <c r="Y91" s="1"/>
      <c r="Z91" s="1"/>
      <c r="AA91" s="1"/>
      <c r="AB91" s="1"/>
    </row>
    <row r="92" ht="14.25" customHeight="1">
      <c r="A92" s="1"/>
      <c r="B92" s="1"/>
      <c r="C92" s="1"/>
      <c r="D92" s="2"/>
      <c r="E92" s="2"/>
      <c r="F92" s="1"/>
      <c r="G92" s="1"/>
      <c r="H92" s="3"/>
      <c r="I92" s="1"/>
      <c r="J92" s="1"/>
      <c r="K92" s="1"/>
      <c r="L92" s="1"/>
      <c r="M92" s="1"/>
      <c r="N92" s="1"/>
      <c r="O92" s="1"/>
      <c r="P92" s="1"/>
      <c r="Q92" s="1"/>
      <c r="R92" s="1"/>
      <c r="S92" s="1"/>
      <c r="T92" s="1"/>
      <c r="U92" s="1"/>
      <c r="V92" s="1"/>
      <c r="W92" s="1"/>
      <c r="X92" s="1"/>
      <c r="Y92" s="1"/>
      <c r="Z92" s="1"/>
      <c r="AA92" s="1"/>
      <c r="AB92" s="1"/>
    </row>
    <row r="93" ht="14.25" customHeight="1">
      <c r="A93" s="1"/>
      <c r="B93" s="36" t="s">
        <v>26</v>
      </c>
      <c r="C93" s="37"/>
      <c r="D93" s="37"/>
      <c r="E93" s="37"/>
      <c r="F93" s="37"/>
      <c r="G93" s="37"/>
      <c r="H93" s="37"/>
      <c r="I93" s="38"/>
      <c r="J93" s="38"/>
      <c r="K93" s="1"/>
      <c r="L93" s="1"/>
      <c r="M93" s="1"/>
      <c r="N93" s="1"/>
      <c r="O93" s="1"/>
      <c r="P93" s="1"/>
      <c r="Q93" s="1"/>
      <c r="R93" s="1"/>
      <c r="S93" s="1"/>
      <c r="T93" s="1"/>
      <c r="U93" s="1"/>
      <c r="V93" s="1"/>
      <c r="W93" s="1"/>
      <c r="X93" s="1"/>
      <c r="Y93" s="1"/>
      <c r="Z93" s="1"/>
      <c r="AA93" s="1"/>
      <c r="AB93" s="1"/>
    </row>
    <row r="94" ht="14.25" customHeight="1">
      <c r="A94" s="1"/>
      <c r="B94" s="9" t="s">
        <v>1</v>
      </c>
      <c r="C94" s="9" t="s">
        <v>2</v>
      </c>
      <c r="D94" s="9" t="s">
        <v>3</v>
      </c>
      <c r="E94" s="9" t="s">
        <v>4</v>
      </c>
      <c r="F94" s="9" t="s">
        <v>5</v>
      </c>
      <c r="G94" s="9" t="s">
        <v>6</v>
      </c>
      <c r="H94" s="40" t="s">
        <v>7</v>
      </c>
      <c r="I94" s="9" t="s">
        <v>8</v>
      </c>
      <c r="J94" s="9" t="s">
        <v>9</v>
      </c>
      <c r="K94" s="1"/>
      <c r="L94" s="1"/>
      <c r="M94" s="1"/>
      <c r="N94" s="1"/>
      <c r="O94" s="1"/>
      <c r="P94" s="1"/>
      <c r="Q94" s="1"/>
      <c r="R94" s="1"/>
      <c r="S94" s="1"/>
      <c r="T94" s="1"/>
      <c r="U94" s="1"/>
      <c r="V94" s="1"/>
      <c r="W94" s="1"/>
      <c r="X94" s="1"/>
      <c r="Y94" s="1"/>
      <c r="Z94" s="1"/>
      <c r="AA94" s="1"/>
      <c r="AB94" s="1"/>
    </row>
    <row r="95" ht="14.25" customHeight="1">
      <c r="A95" s="1"/>
      <c r="B95" s="32">
        <v>1.0</v>
      </c>
      <c r="C95" s="67" t="str">
        <f>'10. QUALITY CHECKING-REVISED'!C80</f>
        <v>#REF!</v>
      </c>
      <c r="D95" s="43" t="str">
        <f t="shared" ref="D95:E95" si="112">'10. QUALITY CHECKING-REVISED'!P80</f>
        <v>#REF!</v>
      </c>
      <c r="E95" s="43" t="str">
        <f t="shared" si="112"/>
        <v>#REF!</v>
      </c>
      <c r="F95" s="16" t="str">
        <f t="shared" ref="F95:G95" si="113">D95/60</f>
        <v>#REF!</v>
      </c>
      <c r="G95" s="16" t="str">
        <f t="shared" si="113"/>
        <v>#REF!</v>
      </c>
      <c r="H95" s="33" t="str">
        <f t="shared" ref="H95:J95" si="114">'10. QUALITY CHECKING-REVISED'!R80</f>
        <v>#REF!</v>
      </c>
      <c r="I95" s="68" t="str">
        <f t="shared" si="114"/>
        <v>#REF!</v>
      </c>
      <c r="J95" s="68" t="str">
        <f t="shared" si="114"/>
        <v>#REF!</v>
      </c>
      <c r="K95" s="1"/>
      <c r="L95" s="1"/>
      <c r="M95" s="1"/>
      <c r="N95" s="1"/>
      <c r="O95" s="1"/>
      <c r="P95" s="1"/>
      <c r="Q95" s="1"/>
      <c r="R95" s="1"/>
      <c r="S95" s="1"/>
      <c r="T95" s="1"/>
      <c r="U95" s="1"/>
      <c r="V95" s="1"/>
      <c r="W95" s="1"/>
      <c r="X95" s="1"/>
      <c r="Y95" s="1"/>
      <c r="Z95" s="1"/>
      <c r="AA95" s="1"/>
      <c r="AB95" s="1"/>
    </row>
    <row r="96" ht="14.25" customHeight="1">
      <c r="A96" s="1"/>
      <c r="B96" s="69" t="s">
        <v>10</v>
      </c>
      <c r="C96" s="47"/>
      <c r="D96" s="70" t="str">
        <f t="shared" ref="D96:E96" si="115">SUM(D95)</f>
        <v>#REF!</v>
      </c>
      <c r="E96" s="70" t="str">
        <f t="shared" si="115"/>
        <v>#REF!</v>
      </c>
      <c r="F96" s="22" t="str">
        <f t="shared" ref="F96:G96" si="116">D96/60</f>
        <v>#REF!</v>
      </c>
      <c r="G96" s="22" t="str">
        <f t="shared" si="116"/>
        <v>#REF!</v>
      </c>
      <c r="H96" s="71" t="str">
        <f>sum(H95)</f>
        <v>#REF!</v>
      </c>
      <c r="I96" s="72"/>
      <c r="J96" s="72"/>
      <c r="K96" s="1"/>
      <c r="L96" s="1"/>
      <c r="M96" s="1"/>
      <c r="N96" s="1"/>
      <c r="O96" s="1"/>
      <c r="P96" s="1"/>
      <c r="Q96" s="1"/>
      <c r="R96" s="1"/>
      <c r="S96" s="1"/>
      <c r="T96" s="1"/>
      <c r="U96" s="1"/>
      <c r="V96" s="1"/>
      <c r="W96" s="1"/>
      <c r="X96" s="1"/>
      <c r="Y96" s="1"/>
      <c r="Z96" s="1"/>
      <c r="AA96" s="1"/>
      <c r="AB96" s="1"/>
    </row>
    <row r="97" ht="14.25" customHeight="1">
      <c r="A97" s="1"/>
      <c r="B97" s="73"/>
      <c r="C97" s="73"/>
      <c r="D97" s="73"/>
      <c r="E97" s="73"/>
      <c r="F97" s="73"/>
      <c r="G97" s="73"/>
      <c r="H97" s="73"/>
      <c r="I97" s="74"/>
      <c r="J97" s="74"/>
      <c r="K97" s="1"/>
      <c r="L97" s="1"/>
      <c r="M97" s="1"/>
      <c r="N97" s="1"/>
      <c r="O97" s="1"/>
      <c r="P97" s="1"/>
      <c r="Q97" s="1"/>
      <c r="R97" s="1"/>
      <c r="S97" s="1"/>
      <c r="T97" s="1"/>
      <c r="U97" s="1"/>
      <c r="V97" s="1"/>
      <c r="W97" s="1"/>
      <c r="X97" s="1"/>
      <c r="Y97" s="1"/>
      <c r="Z97" s="1"/>
      <c r="AA97" s="1"/>
      <c r="AB97" s="1"/>
    </row>
    <row r="98" ht="14.25" customHeight="1">
      <c r="A98" s="1"/>
      <c r="B98" s="36" t="s">
        <v>27</v>
      </c>
      <c r="C98" s="37"/>
      <c r="D98" s="37"/>
      <c r="E98" s="37"/>
      <c r="F98" s="37"/>
      <c r="G98" s="37"/>
      <c r="H98" s="37"/>
      <c r="I98" s="38"/>
      <c r="J98" s="38"/>
      <c r="K98" s="1"/>
      <c r="L98" s="1"/>
      <c r="M98" s="1"/>
      <c r="N98" s="1"/>
      <c r="O98" s="1"/>
      <c r="P98" s="1"/>
      <c r="Q98" s="1"/>
      <c r="R98" s="1"/>
      <c r="S98" s="1"/>
      <c r="T98" s="1"/>
      <c r="U98" s="1"/>
      <c r="V98" s="1"/>
      <c r="W98" s="1"/>
      <c r="X98" s="1"/>
      <c r="Y98" s="1"/>
      <c r="Z98" s="1"/>
      <c r="AA98" s="1"/>
      <c r="AB98" s="1"/>
    </row>
    <row r="99" ht="14.25" customHeight="1">
      <c r="A99" s="1"/>
      <c r="B99" s="9" t="s">
        <v>1</v>
      </c>
      <c r="C99" s="9" t="s">
        <v>2</v>
      </c>
      <c r="D99" s="9" t="s">
        <v>3</v>
      </c>
      <c r="E99" s="9" t="s">
        <v>4</v>
      </c>
      <c r="F99" s="9" t="s">
        <v>5</v>
      </c>
      <c r="G99" s="9" t="s">
        <v>6</v>
      </c>
      <c r="H99" s="40" t="s">
        <v>7</v>
      </c>
      <c r="I99" s="9" t="s">
        <v>8</v>
      </c>
      <c r="J99" s="9" t="s">
        <v>9</v>
      </c>
      <c r="K99" s="1"/>
      <c r="L99" s="1"/>
      <c r="M99" s="1"/>
      <c r="N99" s="1"/>
      <c r="O99" s="1"/>
      <c r="P99" s="1"/>
      <c r="Q99" s="1"/>
      <c r="R99" s="1"/>
      <c r="S99" s="1"/>
      <c r="T99" s="1"/>
      <c r="U99" s="1"/>
      <c r="V99" s="1"/>
      <c r="W99" s="1"/>
      <c r="X99" s="1"/>
      <c r="Y99" s="1"/>
      <c r="Z99" s="1"/>
      <c r="AA99" s="1"/>
      <c r="AB99" s="1"/>
    </row>
    <row r="100" ht="14.25" customHeight="1">
      <c r="A100" s="1"/>
      <c r="B100" s="32">
        <v>1.0</v>
      </c>
      <c r="C100" s="67" t="str">
        <f>'10. QUALITY CHECKING-REVISED'!C115</f>
        <v>#REF!</v>
      </c>
      <c r="D100" s="43" t="str">
        <f t="shared" ref="D100:E100" si="117">'10. QUALITY CHECKING-REVISED'!P115</f>
        <v>#REF!</v>
      </c>
      <c r="E100" s="43" t="str">
        <f t="shared" si="117"/>
        <v>#REF!</v>
      </c>
      <c r="F100" s="16" t="str">
        <f t="shared" ref="F100:G100" si="118">D100/60</f>
        <v>#REF!</v>
      </c>
      <c r="G100" s="16" t="str">
        <f t="shared" si="118"/>
        <v>#REF!</v>
      </c>
      <c r="H100" s="33" t="str">
        <f t="shared" ref="H100:J100" si="119">'10. QUALITY CHECKING-REVISED'!R115</f>
        <v>#REF!</v>
      </c>
      <c r="I100" s="68" t="str">
        <f t="shared" si="119"/>
        <v>#REF!</v>
      </c>
      <c r="J100" s="68" t="str">
        <f t="shared" si="119"/>
        <v>#REF!</v>
      </c>
      <c r="K100" s="1"/>
      <c r="L100" s="1"/>
      <c r="M100" s="1"/>
      <c r="N100" s="1"/>
      <c r="O100" s="1"/>
      <c r="P100" s="1"/>
      <c r="Q100" s="1"/>
      <c r="R100" s="1"/>
      <c r="S100" s="1"/>
      <c r="T100" s="1"/>
      <c r="U100" s="1"/>
      <c r="V100" s="1"/>
      <c r="W100" s="1"/>
      <c r="X100" s="1"/>
      <c r="Y100" s="1"/>
      <c r="Z100" s="1"/>
      <c r="AA100" s="1"/>
      <c r="AB100" s="1"/>
    </row>
    <row r="101" ht="14.25" customHeight="1">
      <c r="A101" s="1"/>
      <c r="B101" s="69" t="s">
        <v>10</v>
      </c>
      <c r="C101" s="47"/>
      <c r="D101" s="70" t="str">
        <f t="shared" ref="D101:E101" si="120">SUM(D100)</f>
        <v>#REF!</v>
      </c>
      <c r="E101" s="70" t="str">
        <f t="shared" si="120"/>
        <v>#REF!</v>
      </c>
      <c r="F101" s="22" t="str">
        <f t="shared" ref="F101:G101" si="121">D101/60</f>
        <v>#REF!</v>
      </c>
      <c r="G101" s="22" t="str">
        <f t="shared" si="121"/>
        <v>#REF!</v>
      </c>
      <c r="H101" s="71" t="str">
        <f>sum(H100)</f>
        <v>#REF!</v>
      </c>
      <c r="I101" s="72"/>
      <c r="J101" s="72"/>
      <c r="K101" s="1"/>
      <c r="L101" s="1"/>
      <c r="M101" s="1"/>
      <c r="N101" s="1"/>
      <c r="O101" s="1"/>
      <c r="P101" s="1"/>
      <c r="Q101" s="1"/>
      <c r="R101" s="1"/>
      <c r="S101" s="1"/>
      <c r="T101" s="1"/>
      <c r="U101" s="1"/>
      <c r="V101" s="1"/>
      <c r="W101" s="1"/>
      <c r="X101" s="1"/>
      <c r="Y101" s="1"/>
      <c r="Z101" s="1"/>
      <c r="AA101" s="1"/>
      <c r="AB101" s="1"/>
    </row>
    <row r="102" ht="14.25" customHeight="1">
      <c r="A102" s="1"/>
      <c r="B102" s="73"/>
      <c r="C102" s="73"/>
      <c r="D102" s="73"/>
      <c r="E102" s="73"/>
      <c r="F102" s="73"/>
      <c r="G102" s="73"/>
      <c r="H102" s="73"/>
      <c r="I102" s="74"/>
      <c r="J102" s="74"/>
      <c r="K102" s="1"/>
      <c r="L102" s="1"/>
      <c r="M102" s="1"/>
      <c r="N102" s="1"/>
      <c r="O102" s="1"/>
      <c r="P102" s="1"/>
      <c r="Q102" s="1"/>
      <c r="R102" s="1"/>
      <c r="S102" s="1"/>
      <c r="T102" s="1"/>
      <c r="U102" s="1"/>
      <c r="V102" s="1"/>
      <c r="W102" s="1"/>
      <c r="X102" s="1"/>
      <c r="Y102" s="1"/>
      <c r="Z102" s="1"/>
      <c r="AA102" s="1"/>
      <c r="AB102" s="1"/>
    </row>
    <row r="103" ht="14.25" customHeight="1">
      <c r="A103" s="1"/>
      <c r="B103" s="36" t="s">
        <v>28</v>
      </c>
      <c r="C103" s="37"/>
      <c r="D103" s="37"/>
      <c r="E103" s="37"/>
      <c r="F103" s="37"/>
      <c r="G103" s="37"/>
      <c r="H103" s="37"/>
      <c r="I103" s="38"/>
      <c r="J103" s="38"/>
      <c r="K103" s="1"/>
      <c r="L103" s="1"/>
      <c r="M103" s="1"/>
      <c r="N103" s="1"/>
      <c r="O103" s="1"/>
      <c r="P103" s="1"/>
      <c r="Q103" s="1"/>
      <c r="R103" s="1"/>
      <c r="S103" s="1"/>
      <c r="T103" s="1"/>
      <c r="U103" s="1"/>
      <c r="V103" s="1"/>
      <c r="W103" s="1"/>
      <c r="X103" s="1"/>
      <c r="Y103" s="1"/>
      <c r="Z103" s="1"/>
      <c r="AA103" s="1"/>
      <c r="AB103" s="1"/>
    </row>
    <row r="104" ht="14.25" customHeight="1">
      <c r="A104" s="1"/>
      <c r="B104" s="9" t="s">
        <v>1</v>
      </c>
      <c r="C104" s="9" t="s">
        <v>2</v>
      </c>
      <c r="D104" s="9" t="s">
        <v>3</v>
      </c>
      <c r="E104" s="9" t="s">
        <v>4</v>
      </c>
      <c r="F104" s="9" t="s">
        <v>5</v>
      </c>
      <c r="G104" s="9" t="s">
        <v>6</v>
      </c>
      <c r="H104" s="40" t="s">
        <v>7</v>
      </c>
      <c r="I104" s="9" t="s">
        <v>8</v>
      </c>
      <c r="J104" s="9" t="s">
        <v>9</v>
      </c>
      <c r="K104" s="1"/>
      <c r="L104" s="1"/>
      <c r="M104" s="1"/>
      <c r="N104" s="1"/>
      <c r="O104" s="1"/>
      <c r="P104" s="1"/>
      <c r="Q104" s="1"/>
      <c r="R104" s="1"/>
      <c r="S104" s="1"/>
      <c r="T104" s="1"/>
      <c r="U104" s="1"/>
      <c r="V104" s="1"/>
      <c r="W104" s="1"/>
      <c r="X104" s="1"/>
      <c r="Y104" s="1"/>
      <c r="Z104" s="1"/>
      <c r="AA104" s="1"/>
      <c r="AB104" s="1"/>
    </row>
    <row r="105" ht="14.25" customHeight="1">
      <c r="A105" s="1"/>
      <c r="B105" s="32">
        <v>1.0</v>
      </c>
      <c r="C105" s="67" t="str">
        <f>'10. QUALITY CHECKING-REVISED'!C151</f>
        <v>#REF!</v>
      </c>
      <c r="D105" s="43" t="str">
        <f t="shared" ref="D105:E105" si="122">'10. QUALITY CHECKING-REVISED'!P151</f>
        <v>#REF!</v>
      </c>
      <c r="E105" s="43" t="str">
        <f t="shared" si="122"/>
        <v>#REF!</v>
      </c>
      <c r="F105" s="16" t="str">
        <f t="shared" ref="F105:G105" si="123">D105/60</f>
        <v>#REF!</v>
      </c>
      <c r="G105" s="16" t="str">
        <f t="shared" si="123"/>
        <v>#REF!</v>
      </c>
      <c r="H105" s="33" t="str">
        <f t="shared" ref="H105:J105" si="124">'10. QUALITY CHECKING-REVISED'!R151</f>
        <v>#REF!</v>
      </c>
      <c r="I105" s="68" t="str">
        <f t="shared" si="124"/>
        <v>#REF!</v>
      </c>
      <c r="J105" s="68" t="str">
        <f t="shared" si="124"/>
        <v>#REF!</v>
      </c>
      <c r="K105" s="1"/>
      <c r="L105" s="1"/>
      <c r="M105" s="1"/>
      <c r="N105" s="1"/>
      <c r="O105" s="1"/>
      <c r="P105" s="1"/>
      <c r="Q105" s="1"/>
      <c r="R105" s="1"/>
      <c r="S105" s="1"/>
      <c r="T105" s="1"/>
      <c r="U105" s="1"/>
      <c r="V105" s="1"/>
      <c r="W105" s="1"/>
      <c r="X105" s="1"/>
      <c r="Y105" s="1"/>
      <c r="Z105" s="1"/>
      <c r="AA105" s="1"/>
      <c r="AB105" s="1"/>
    </row>
    <row r="106" ht="14.25" customHeight="1">
      <c r="A106" s="1"/>
      <c r="B106" s="69" t="s">
        <v>10</v>
      </c>
      <c r="C106" s="47"/>
      <c r="D106" s="70" t="str">
        <f t="shared" ref="D106:E106" si="125">SUM(D105)</f>
        <v>#REF!</v>
      </c>
      <c r="E106" s="70" t="str">
        <f t="shared" si="125"/>
        <v>#REF!</v>
      </c>
      <c r="F106" s="22" t="str">
        <f t="shared" ref="F106:G106" si="126">D106/60</f>
        <v>#REF!</v>
      </c>
      <c r="G106" s="22" t="str">
        <f t="shared" si="126"/>
        <v>#REF!</v>
      </c>
      <c r="H106" s="71" t="str">
        <f>sum(H105)</f>
        <v>#REF!</v>
      </c>
      <c r="I106" s="72"/>
      <c r="J106" s="72"/>
      <c r="K106" s="1"/>
      <c r="L106" s="1"/>
      <c r="M106" s="1"/>
      <c r="N106" s="1"/>
      <c r="O106" s="1"/>
      <c r="P106" s="1"/>
      <c r="Q106" s="1"/>
      <c r="R106" s="1"/>
      <c r="S106" s="1"/>
      <c r="T106" s="1"/>
      <c r="U106" s="1"/>
      <c r="V106" s="1"/>
      <c r="W106" s="1"/>
      <c r="X106" s="1"/>
      <c r="Y106" s="1"/>
      <c r="Z106" s="1"/>
      <c r="AA106" s="1"/>
      <c r="AB106" s="1"/>
    </row>
    <row r="107" ht="14.25" customHeight="1">
      <c r="A107" s="1"/>
      <c r="B107" s="73"/>
      <c r="C107" s="73"/>
      <c r="D107" s="73"/>
      <c r="E107" s="73"/>
      <c r="F107" s="73"/>
      <c r="G107" s="73"/>
      <c r="H107" s="73"/>
      <c r="I107" s="74"/>
      <c r="J107" s="74"/>
      <c r="K107" s="1"/>
      <c r="L107" s="1"/>
      <c r="M107" s="1"/>
      <c r="N107" s="1"/>
      <c r="O107" s="1"/>
      <c r="P107" s="1"/>
      <c r="Q107" s="1"/>
      <c r="R107" s="1"/>
      <c r="S107" s="1"/>
      <c r="T107" s="1"/>
      <c r="U107" s="1"/>
      <c r="V107" s="1"/>
      <c r="W107" s="1"/>
      <c r="X107" s="1"/>
      <c r="Y107" s="1"/>
      <c r="Z107" s="1"/>
      <c r="AA107" s="1"/>
      <c r="AB107" s="1"/>
    </row>
    <row r="108" ht="14.25" customHeight="1">
      <c r="A108" s="1"/>
      <c r="B108" s="36" t="s">
        <v>29</v>
      </c>
      <c r="C108" s="37"/>
      <c r="D108" s="37"/>
      <c r="E108" s="37"/>
      <c r="F108" s="37"/>
      <c r="G108" s="37"/>
      <c r="H108" s="37"/>
      <c r="I108" s="38"/>
      <c r="J108" s="38"/>
      <c r="K108" s="1"/>
      <c r="L108" s="1"/>
      <c r="M108" s="1"/>
      <c r="N108" s="1"/>
      <c r="O108" s="1"/>
      <c r="P108" s="1"/>
      <c r="Q108" s="1"/>
      <c r="R108" s="1"/>
      <c r="S108" s="1"/>
      <c r="T108" s="1"/>
      <c r="U108" s="1"/>
      <c r="V108" s="1"/>
      <c r="W108" s="1"/>
      <c r="X108" s="1"/>
      <c r="Y108" s="1"/>
      <c r="Z108" s="1"/>
      <c r="AA108" s="1"/>
      <c r="AB108" s="1"/>
    </row>
    <row r="109" ht="14.25" customHeight="1">
      <c r="A109" s="1"/>
      <c r="B109" s="9" t="s">
        <v>1</v>
      </c>
      <c r="C109" s="9" t="s">
        <v>2</v>
      </c>
      <c r="D109" s="9" t="s">
        <v>3</v>
      </c>
      <c r="E109" s="9" t="s">
        <v>4</v>
      </c>
      <c r="F109" s="9" t="s">
        <v>5</v>
      </c>
      <c r="G109" s="9" t="s">
        <v>6</v>
      </c>
      <c r="H109" s="40" t="s">
        <v>7</v>
      </c>
      <c r="I109" s="9" t="s">
        <v>8</v>
      </c>
      <c r="J109" s="9" t="s">
        <v>9</v>
      </c>
      <c r="K109" s="1"/>
      <c r="L109" s="1"/>
      <c r="M109" s="1"/>
      <c r="N109" s="1"/>
      <c r="O109" s="1"/>
      <c r="P109" s="1"/>
      <c r="Q109" s="1"/>
      <c r="R109" s="1"/>
      <c r="S109" s="1"/>
      <c r="T109" s="1"/>
      <c r="U109" s="1"/>
      <c r="V109" s="1"/>
      <c r="W109" s="1"/>
      <c r="X109" s="1"/>
      <c r="Y109" s="1"/>
      <c r="Z109" s="1"/>
      <c r="AA109" s="1"/>
      <c r="AB109" s="1"/>
    </row>
    <row r="110" ht="14.25" customHeight="1">
      <c r="A110" s="1"/>
      <c r="B110" s="32">
        <v>1.0</v>
      </c>
      <c r="C110" s="75" t="str">
        <f t="shared" ref="C110:C111" si="130">'10. QUALITY CHECKING-REVISED'!C180</f>
        <v>#REF!</v>
      </c>
      <c r="D110" s="43" t="str">
        <f t="shared" ref="D110:E110" si="127">'10. QUALITY CHECKING-REVISED'!P180</f>
        <v>#REF!</v>
      </c>
      <c r="E110" s="43" t="str">
        <f t="shared" si="127"/>
        <v>#REF!</v>
      </c>
      <c r="F110" s="16" t="str">
        <f t="shared" ref="F110:G110" si="128">D110/60</f>
        <v>#REF!</v>
      </c>
      <c r="G110" s="76" t="str">
        <f t="shared" si="128"/>
        <v>#REF!</v>
      </c>
      <c r="H110" s="77" t="str">
        <f t="shared" ref="H110:J110" si="129">'10. QUALITY CHECKING-REVISED'!R180</f>
        <v>#REF!</v>
      </c>
      <c r="I110" s="78" t="str">
        <f t="shared" si="129"/>
        <v>#REF!</v>
      </c>
      <c r="J110" s="79" t="str">
        <f t="shared" si="129"/>
        <v>#REF!</v>
      </c>
      <c r="K110" s="1"/>
      <c r="L110" s="1"/>
      <c r="M110" s="1"/>
      <c r="N110" s="1"/>
      <c r="O110" s="1"/>
      <c r="P110" s="1"/>
      <c r="Q110" s="1"/>
      <c r="R110" s="1"/>
      <c r="S110" s="1"/>
      <c r="T110" s="1"/>
      <c r="U110" s="1"/>
      <c r="V110" s="1"/>
      <c r="W110" s="1"/>
      <c r="X110" s="1"/>
      <c r="Y110" s="1"/>
      <c r="Z110" s="1"/>
      <c r="AA110" s="1"/>
      <c r="AB110" s="1"/>
    </row>
    <row r="111" ht="14.25" customHeight="1">
      <c r="A111" s="1"/>
      <c r="B111" s="80">
        <v>2.0</v>
      </c>
      <c r="C111" s="75" t="str">
        <f t="shared" si="130"/>
        <v>#REF!</v>
      </c>
      <c r="D111" s="43" t="str">
        <f t="shared" ref="D111:E111" si="131">'10. QUALITY CHECKING-REVISED'!P181</f>
        <v>#REF!</v>
      </c>
      <c r="E111" s="43" t="str">
        <f t="shared" si="131"/>
        <v>#REF!</v>
      </c>
      <c r="F111" s="16" t="str">
        <f t="shared" ref="F111:G111" si="132">D111/60</f>
        <v>#REF!</v>
      </c>
      <c r="G111" s="76" t="str">
        <f t="shared" si="132"/>
        <v>#REF!</v>
      </c>
      <c r="H111" s="81" t="str">
        <f t="shared" ref="H111:J111" si="133">'10. QUALITY CHECKING-REVISED'!R181</f>
        <v>#REF!</v>
      </c>
      <c r="I111" s="78" t="str">
        <f t="shared" si="133"/>
        <v>#REF!</v>
      </c>
      <c r="J111" s="78" t="str">
        <f t="shared" si="133"/>
        <v>#REF!</v>
      </c>
      <c r="K111" s="1"/>
      <c r="L111" s="1"/>
      <c r="M111" s="1"/>
      <c r="N111" s="1"/>
      <c r="O111" s="1"/>
      <c r="P111" s="1"/>
      <c r="Q111" s="1"/>
      <c r="R111" s="1"/>
      <c r="S111" s="1"/>
      <c r="T111" s="1"/>
      <c r="U111" s="1"/>
      <c r="V111" s="1"/>
      <c r="W111" s="1"/>
      <c r="X111" s="1"/>
      <c r="Y111" s="1"/>
      <c r="Z111" s="1"/>
      <c r="AA111" s="1"/>
      <c r="AB111" s="1"/>
    </row>
    <row r="112" ht="14.25" customHeight="1">
      <c r="A112" s="1"/>
      <c r="B112" s="69" t="s">
        <v>10</v>
      </c>
      <c r="C112" s="47"/>
      <c r="D112" s="70" t="str">
        <f t="shared" ref="D112:E112" si="134">SUM(D110:D111)</f>
        <v>#REF!</v>
      </c>
      <c r="E112" s="70" t="str">
        <f t="shared" si="134"/>
        <v>#REF!</v>
      </c>
      <c r="F112" s="22" t="str">
        <f t="shared" ref="F112:G112" si="135">D112/60</f>
        <v>#REF!</v>
      </c>
      <c r="G112" s="82" t="str">
        <f t="shared" si="135"/>
        <v>#REF!</v>
      </c>
      <c r="H112" s="71" t="str">
        <f>sum(H110:H111)</f>
        <v>#REF!</v>
      </c>
      <c r="I112" s="72"/>
      <c r="J112" s="72"/>
      <c r="K112" s="1"/>
      <c r="L112" s="1"/>
      <c r="M112" s="1"/>
      <c r="N112" s="1"/>
      <c r="O112" s="1"/>
      <c r="P112" s="1"/>
      <c r="Q112" s="1"/>
      <c r="R112" s="1"/>
      <c r="S112" s="1"/>
      <c r="T112" s="1"/>
      <c r="U112" s="1"/>
      <c r="V112" s="1"/>
      <c r="W112" s="1"/>
      <c r="X112" s="1"/>
      <c r="Y112" s="1"/>
      <c r="Z112" s="1"/>
      <c r="AA112" s="1"/>
      <c r="AB112" s="1"/>
    </row>
    <row r="113" ht="14.25" customHeight="1">
      <c r="A113" s="1"/>
      <c r="B113" s="1"/>
      <c r="C113" s="1"/>
      <c r="D113" s="2"/>
      <c r="E113" s="2"/>
      <c r="F113" s="1"/>
      <c r="G113" s="1"/>
      <c r="H113" s="3"/>
      <c r="I113" s="1"/>
      <c r="J113" s="1"/>
      <c r="K113" s="1"/>
      <c r="L113" s="1"/>
      <c r="M113" s="1"/>
      <c r="N113" s="1"/>
      <c r="O113" s="1"/>
      <c r="P113" s="1"/>
      <c r="Q113" s="1"/>
      <c r="R113" s="1"/>
      <c r="S113" s="1"/>
      <c r="T113" s="1"/>
      <c r="U113" s="1"/>
      <c r="V113" s="1"/>
      <c r="W113" s="1"/>
      <c r="X113" s="1"/>
      <c r="Y113" s="1"/>
      <c r="Z113" s="1"/>
      <c r="AA113" s="1"/>
      <c r="AB113" s="1"/>
    </row>
    <row r="114" ht="14.25" customHeight="1">
      <c r="A114" s="1"/>
      <c r="B114" s="36" t="s">
        <v>30</v>
      </c>
      <c r="C114" s="37"/>
      <c r="D114" s="37"/>
      <c r="E114" s="37"/>
      <c r="F114" s="37"/>
      <c r="G114" s="37"/>
      <c r="H114" s="37"/>
      <c r="I114" s="38"/>
      <c r="J114" s="38"/>
      <c r="K114" s="1"/>
      <c r="L114" s="1"/>
      <c r="M114" s="1"/>
      <c r="N114" s="1"/>
      <c r="O114" s="1"/>
      <c r="P114" s="1"/>
      <c r="Q114" s="1"/>
      <c r="R114" s="1"/>
      <c r="S114" s="1"/>
      <c r="T114" s="1"/>
      <c r="U114" s="1"/>
      <c r="V114" s="1"/>
      <c r="W114" s="1"/>
      <c r="X114" s="1"/>
      <c r="Y114" s="1"/>
      <c r="Z114" s="1"/>
      <c r="AA114" s="1"/>
      <c r="AB114" s="1"/>
    </row>
    <row r="115" ht="14.25" customHeight="1">
      <c r="A115" s="1"/>
      <c r="B115" s="9" t="s">
        <v>1</v>
      </c>
      <c r="C115" s="9" t="s">
        <v>2</v>
      </c>
      <c r="D115" s="9" t="s">
        <v>3</v>
      </c>
      <c r="E115" s="9" t="s">
        <v>4</v>
      </c>
      <c r="F115" s="9" t="s">
        <v>5</v>
      </c>
      <c r="G115" s="9" t="s">
        <v>6</v>
      </c>
      <c r="H115" s="40" t="s">
        <v>7</v>
      </c>
      <c r="I115" s="9" t="s">
        <v>8</v>
      </c>
      <c r="J115" s="9" t="s">
        <v>9</v>
      </c>
      <c r="K115" s="1"/>
      <c r="L115" s="1"/>
      <c r="M115" s="1"/>
      <c r="N115" s="1"/>
      <c r="O115" s="1"/>
      <c r="P115" s="1"/>
      <c r="Q115" s="1"/>
      <c r="R115" s="1"/>
      <c r="S115" s="1"/>
      <c r="T115" s="1"/>
      <c r="U115" s="1"/>
      <c r="V115" s="1"/>
      <c r="W115" s="1"/>
      <c r="X115" s="1"/>
      <c r="Y115" s="1"/>
      <c r="Z115" s="1"/>
      <c r="AA115" s="1"/>
      <c r="AB115" s="1"/>
    </row>
    <row r="116" ht="14.25" customHeight="1">
      <c r="A116" s="1"/>
      <c r="B116" s="32">
        <v>1.0</v>
      </c>
      <c r="C116" s="75" t="str">
        <f t="shared" ref="C116:C117" si="139">'10. QUALITY CHECKING-REVISED'!C216</f>
        <v>#REF!</v>
      </c>
      <c r="D116" s="43" t="str">
        <f t="shared" ref="D116:E116" si="136">'10. QUALITY CHECKING-REVISED'!P216</f>
        <v>#REF!</v>
      </c>
      <c r="E116" s="43" t="str">
        <f t="shared" si="136"/>
        <v>#REF!</v>
      </c>
      <c r="F116" s="16" t="str">
        <f t="shared" ref="F116:G116" si="137">D116/60</f>
        <v>#REF!</v>
      </c>
      <c r="G116" s="76" t="str">
        <f t="shared" si="137"/>
        <v>#REF!</v>
      </c>
      <c r="H116" s="77" t="str">
        <f t="shared" ref="H116:J116" si="138">'10. QUALITY CHECKING-REVISED'!R216</f>
        <v>#REF!</v>
      </c>
      <c r="I116" s="78" t="str">
        <f t="shared" si="138"/>
        <v>#REF!</v>
      </c>
      <c r="J116" s="79" t="str">
        <f t="shared" si="138"/>
        <v>#REF!</v>
      </c>
      <c r="K116" s="1"/>
      <c r="L116" s="1"/>
      <c r="M116" s="1"/>
      <c r="N116" s="1"/>
      <c r="O116" s="1"/>
      <c r="P116" s="1"/>
      <c r="Q116" s="1"/>
      <c r="R116" s="1"/>
      <c r="S116" s="1"/>
      <c r="T116" s="1"/>
      <c r="U116" s="1"/>
      <c r="V116" s="1"/>
      <c r="W116" s="1"/>
      <c r="X116" s="1"/>
      <c r="Y116" s="1"/>
      <c r="Z116" s="1"/>
      <c r="AA116" s="1"/>
      <c r="AB116" s="1"/>
    </row>
    <row r="117" ht="14.25" customHeight="1">
      <c r="A117" s="1"/>
      <c r="B117" s="80">
        <v>2.0</v>
      </c>
      <c r="C117" s="75" t="str">
        <f t="shared" si="139"/>
        <v>#REF!</v>
      </c>
      <c r="D117" s="43" t="str">
        <f t="shared" ref="D117:E117" si="140">'10. QUALITY CHECKING-REVISED'!P217</f>
        <v>#REF!</v>
      </c>
      <c r="E117" s="43" t="str">
        <f t="shared" si="140"/>
        <v>#REF!</v>
      </c>
      <c r="F117" s="16" t="str">
        <f t="shared" ref="F117:G117" si="141">D117/60</f>
        <v>#REF!</v>
      </c>
      <c r="G117" s="76" t="str">
        <f t="shared" si="141"/>
        <v>#REF!</v>
      </c>
      <c r="H117" s="81" t="str">
        <f t="shared" ref="H117:J117" si="142">'10. QUALITY CHECKING-REVISED'!R217</f>
        <v>#REF!</v>
      </c>
      <c r="I117" s="78" t="str">
        <f t="shared" si="142"/>
        <v>#REF!</v>
      </c>
      <c r="J117" s="78" t="str">
        <f t="shared" si="142"/>
        <v>#REF!</v>
      </c>
      <c r="K117" s="1"/>
      <c r="L117" s="1"/>
      <c r="M117" s="1"/>
      <c r="N117" s="1"/>
      <c r="O117" s="1"/>
      <c r="P117" s="1"/>
      <c r="Q117" s="1"/>
      <c r="R117" s="1"/>
      <c r="S117" s="1"/>
      <c r="T117" s="1"/>
      <c r="U117" s="1"/>
      <c r="V117" s="1"/>
      <c r="W117" s="1"/>
      <c r="X117" s="1"/>
      <c r="Y117" s="1"/>
      <c r="Z117" s="1"/>
      <c r="AA117" s="1"/>
      <c r="AB117" s="1"/>
    </row>
    <row r="118" ht="14.25" customHeight="1">
      <c r="A118" s="1"/>
      <c r="B118" s="69" t="s">
        <v>10</v>
      </c>
      <c r="C118" s="47"/>
      <c r="D118" s="70" t="str">
        <f t="shared" ref="D118:E118" si="143">SUM(D116:D117)</f>
        <v>#REF!</v>
      </c>
      <c r="E118" s="70" t="str">
        <f t="shared" si="143"/>
        <v>#REF!</v>
      </c>
      <c r="F118" s="22" t="str">
        <f t="shared" ref="F118:G118" si="144">D118/60</f>
        <v>#REF!</v>
      </c>
      <c r="G118" s="82" t="str">
        <f t="shared" si="144"/>
        <v>#REF!</v>
      </c>
      <c r="H118" s="71" t="str">
        <f>sum(H116:H117)</f>
        <v>#REF!</v>
      </c>
      <c r="I118" s="72"/>
      <c r="J118" s="72"/>
      <c r="K118" s="1"/>
      <c r="L118" s="1"/>
      <c r="M118" s="1"/>
      <c r="N118" s="1"/>
      <c r="O118" s="1"/>
      <c r="P118" s="1"/>
      <c r="Q118" s="1"/>
      <c r="R118" s="1"/>
      <c r="S118" s="1"/>
      <c r="T118" s="1"/>
      <c r="U118" s="1"/>
      <c r="V118" s="1"/>
      <c r="W118" s="1"/>
      <c r="X118" s="1"/>
      <c r="Y118" s="1"/>
      <c r="Z118" s="1"/>
      <c r="AA118" s="1"/>
      <c r="AB118" s="1"/>
    </row>
    <row r="119" ht="14.25" customHeight="1">
      <c r="A119" s="1"/>
      <c r="B119" s="1"/>
      <c r="C119" s="1"/>
      <c r="D119" s="2"/>
      <c r="E119" s="2"/>
      <c r="F119" s="1"/>
      <c r="G119" s="1"/>
      <c r="H119" s="3"/>
      <c r="I119" s="1"/>
      <c r="J119" s="1"/>
      <c r="K119" s="1"/>
      <c r="L119" s="1"/>
      <c r="M119" s="1"/>
      <c r="N119" s="1"/>
      <c r="O119" s="1"/>
      <c r="P119" s="1"/>
      <c r="Q119" s="1"/>
      <c r="R119" s="1"/>
      <c r="S119" s="1"/>
      <c r="T119" s="1"/>
      <c r="U119" s="1"/>
      <c r="V119" s="1"/>
      <c r="W119" s="1"/>
      <c r="X119" s="1"/>
      <c r="Y119" s="1"/>
      <c r="Z119" s="1"/>
      <c r="AA119" s="1"/>
      <c r="AB119" s="1"/>
    </row>
    <row r="120" ht="14.25" customHeight="1">
      <c r="A120" s="1"/>
      <c r="B120" s="36" t="s">
        <v>31</v>
      </c>
      <c r="C120" s="37"/>
      <c r="D120" s="37"/>
      <c r="E120" s="37"/>
      <c r="F120" s="37"/>
      <c r="G120" s="37"/>
      <c r="H120" s="37"/>
      <c r="I120" s="38"/>
      <c r="J120" s="38"/>
      <c r="K120" s="1"/>
      <c r="L120" s="1"/>
      <c r="M120" s="1"/>
      <c r="N120" s="1"/>
      <c r="O120" s="1"/>
      <c r="P120" s="1"/>
      <c r="Q120" s="1"/>
      <c r="R120" s="1"/>
      <c r="S120" s="1"/>
      <c r="T120" s="1"/>
      <c r="U120" s="1"/>
      <c r="V120" s="1"/>
      <c r="W120" s="1"/>
      <c r="X120" s="1"/>
      <c r="Y120" s="1"/>
      <c r="Z120" s="1"/>
      <c r="AA120" s="1"/>
      <c r="AB120" s="1"/>
    </row>
    <row r="121" ht="14.25" customHeight="1">
      <c r="A121" s="1"/>
      <c r="B121" s="9" t="s">
        <v>1</v>
      </c>
      <c r="C121" s="9" t="s">
        <v>2</v>
      </c>
      <c r="D121" s="9" t="s">
        <v>3</v>
      </c>
      <c r="E121" s="9" t="s">
        <v>4</v>
      </c>
      <c r="F121" s="9" t="s">
        <v>5</v>
      </c>
      <c r="G121" s="9" t="s">
        <v>6</v>
      </c>
      <c r="H121" s="40" t="s">
        <v>7</v>
      </c>
      <c r="I121" s="9" t="s">
        <v>8</v>
      </c>
      <c r="J121" s="9" t="s">
        <v>9</v>
      </c>
      <c r="K121" s="1"/>
      <c r="L121" s="1"/>
      <c r="M121" s="1"/>
      <c r="N121" s="1"/>
      <c r="O121" s="1"/>
      <c r="P121" s="1"/>
      <c r="Q121" s="1"/>
      <c r="R121" s="1"/>
      <c r="S121" s="1"/>
      <c r="T121" s="1"/>
      <c r="U121" s="1"/>
      <c r="V121" s="1"/>
      <c r="W121" s="1"/>
      <c r="X121" s="1"/>
      <c r="Y121" s="1"/>
      <c r="Z121" s="1"/>
      <c r="AA121" s="1"/>
      <c r="AB121" s="1"/>
    </row>
    <row r="122" ht="14.25" customHeight="1">
      <c r="A122" s="1"/>
      <c r="B122" s="32">
        <v>1.0</v>
      </c>
      <c r="C122" s="75" t="str">
        <f t="shared" ref="C122:C123" si="148">'10. QUALITY CHECKING-REVISED'!C251</f>
        <v>#REF!</v>
      </c>
      <c r="D122" s="43" t="str">
        <f t="shared" ref="D122:E122" si="145">'10. QUALITY CHECKING-REVISED'!P251</f>
        <v>#REF!</v>
      </c>
      <c r="E122" s="43" t="str">
        <f t="shared" si="145"/>
        <v>#REF!</v>
      </c>
      <c r="F122" s="16" t="str">
        <f t="shared" ref="F122:G122" si="146">D122/60</f>
        <v>#REF!</v>
      </c>
      <c r="G122" s="76" t="str">
        <f t="shared" si="146"/>
        <v>#REF!</v>
      </c>
      <c r="H122" s="77" t="str">
        <f t="shared" ref="H122:J122" si="147">'10. QUALITY CHECKING-REVISED'!R251</f>
        <v>#REF!</v>
      </c>
      <c r="I122" s="78" t="str">
        <f t="shared" si="147"/>
        <v>#REF!</v>
      </c>
      <c r="J122" s="78" t="str">
        <f t="shared" si="147"/>
        <v>#REF!</v>
      </c>
      <c r="K122" s="1"/>
      <c r="L122" s="1"/>
      <c r="M122" s="1"/>
      <c r="N122" s="1"/>
      <c r="O122" s="1"/>
      <c r="P122" s="1"/>
      <c r="Q122" s="1"/>
      <c r="R122" s="1"/>
      <c r="S122" s="1"/>
      <c r="T122" s="1"/>
      <c r="U122" s="1"/>
      <c r="V122" s="1"/>
      <c r="W122" s="1"/>
      <c r="X122" s="1"/>
      <c r="Y122" s="1"/>
      <c r="Z122" s="1"/>
      <c r="AA122" s="1"/>
      <c r="AB122" s="1"/>
    </row>
    <row r="123" ht="14.25" customHeight="1">
      <c r="A123" s="1"/>
      <c r="B123" s="80">
        <v>2.0</v>
      </c>
      <c r="C123" s="75" t="str">
        <f t="shared" si="148"/>
        <v>#REF!</v>
      </c>
      <c r="D123" s="43" t="str">
        <f t="shared" ref="D123:E123" si="149">'10. QUALITY CHECKING-REVISED'!P252</f>
        <v>#REF!</v>
      </c>
      <c r="E123" s="43" t="str">
        <f t="shared" si="149"/>
        <v>#REF!</v>
      </c>
      <c r="F123" s="16" t="str">
        <f t="shared" ref="F123:G123" si="150">D123/60</f>
        <v>#REF!</v>
      </c>
      <c r="G123" s="76" t="str">
        <f t="shared" si="150"/>
        <v>#REF!</v>
      </c>
      <c r="H123" s="81" t="str">
        <f t="shared" ref="H123:J123" si="151">'10. QUALITY CHECKING-REVISED'!R252</f>
        <v>#REF!</v>
      </c>
      <c r="I123" s="78" t="str">
        <f t="shared" si="151"/>
        <v>#REF!</v>
      </c>
      <c r="J123" s="78" t="str">
        <f t="shared" si="151"/>
        <v>#REF!</v>
      </c>
      <c r="K123" s="1"/>
      <c r="L123" s="1"/>
      <c r="M123" s="1"/>
      <c r="N123" s="1"/>
      <c r="O123" s="1"/>
      <c r="P123" s="1"/>
      <c r="Q123" s="1"/>
      <c r="R123" s="1"/>
      <c r="S123" s="1"/>
      <c r="T123" s="1"/>
      <c r="U123" s="1"/>
      <c r="V123" s="1"/>
      <c r="W123" s="1"/>
      <c r="X123" s="1"/>
      <c r="Y123" s="1"/>
      <c r="Z123" s="1"/>
      <c r="AA123" s="1"/>
      <c r="AB123" s="1"/>
    </row>
    <row r="124" ht="14.25" customHeight="1">
      <c r="A124" s="1"/>
      <c r="B124" s="69" t="s">
        <v>10</v>
      </c>
      <c r="C124" s="47"/>
      <c r="D124" s="70" t="str">
        <f t="shared" ref="D124:E124" si="152">SUM(D122:D123)</f>
        <v>#REF!</v>
      </c>
      <c r="E124" s="70" t="str">
        <f t="shared" si="152"/>
        <v>#REF!</v>
      </c>
      <c r="F124" s="22" t="str">
        <f t="shared" ref="F124:G124" si="153">D124/60</f>
        <v>#REF!</v>
      </c>
      <c r="G124" s="82" t="str">
        <f t="shared" si="153"/>
        <v>#REF!</v>
      </c>
      <c r="H124" s="71" t="str">
        <f>sum(H122:H123)</f>
        <v>#REF!</v>
      </c>
      <c r="I124" s="72"/>
      <c r="J124" s="72"/>
      <c r="K124" s="1"/>
      <c r="L124" s="1"/>
      <c r="M124" s="1"/>
      <c r="N124" s="1"/>
      <c r="O124" s="1"/>
      <c r="P124" s="1"/>
      <c r="Q124" s="1"/>
      <c r="R124" s="1"/>
      <c r="S124" s="1"/>
      <c r="T124" s="1"/>
      <c r="U124" s="1"/>
      <c r="V124" s="1"/>
      <c r="W124" s="1"/>
      <c r="X124" s="1"/>
      <c r="Y124" s="1"/>
      <c r="Z124" s="1"/>
      <c r="AA124" s="1"/>
      <c r="AB124" s="1"/>
    </row>
    <row r="125" ht="14.25" customHeight="1">
      <c r="A125" s="1"/>
      <c r="B125" s="1"/>
      <c r="C125" s="1"/>
      <c r="D125" s="2"/>
      <c r="E125" s="2"/>
      <c r="F125" s="1"/>
      <c r="G125" s="1"/>
      <c r="H125" s="3"/>
      <c r="I125" s="1"/>
      <c r="J125" s="1"/>
      <c r="K125" s="1"/>
      <c r="L125" s="1"/>
      <c r="M125" s="1"/>
      <c r="N125" s="1"/>
      <c r="O125" s="1"/>
      <c r="P125" s="1"/>
      <c r="Q125" s="1"/>
      <c r="R125" s="1"/>
      <c r="S125" s="1"/>
      <c r="T125" s="1"/>
      <c r="U125" s="1"/>
      <c r="V125" s="1"/>
      <c r="W125" s="1"/>
      <c r="X125" s="1"/>
      <c r="Y125" s="1"/>
      <c r="Z125" s="1"/>
      <c r="AA125" s="1"/>
      <c r="AB125" s="1"/>
    </row>
    <row r="126" ht="14.25" customHeight="1">
      <c r="A126" s="1"/>
      <c r="B126" s="36" t="s">
        <v>32</v>
      </c>
      <c r="C126" s="37"/>
      <c r="D126" s="37"/>
      <c r="E126" s="37"/>
      <c r="F126" s="37"/>
      <c r="G126" s="37"/>
      <c r="H126" s="37"/>
      <c r="I126" s="38"/>
      <c r="J126" s="38"/>
      <c r="K126" s="1"/>
      <c r="L126" s="1"/>
      <c r="M126" s="1"/>
      <c r="N126" s="1"/>
      <c r="O126" s="1"/>
      <c r="P126" s="1"/>
      <c r="Q126" s="1"/>
      <c r="R126" s="1"/>
      <c r="S126" s="1"/>
      <c r="T126" s="1"/>
      <c r="U126" s="1"/>
      <c r="V126" s="1"/>
      <c r="W126" s="1"/>
      <c r="X126" s="1"/>
      <c r="Y126" s="1"/>
      <c r="Z126" s="1"/>
      <c r="AA126" s="1"/>
      <c r="AB126" s="1"/>
    </row>
    <row r="127" ht="14.25" customHeight="1">
      <c r="A127" s="1"/>
      <c r="B127" s="9" t="s">
        <v>1</v>
      </c>
      <c r="C127" s="9" t="s">
        <v>2</v>
      </c>
      <c r="D127" s="9" t="s">
        <v>3</v>
      </c>
      <c r="E127" s="9" t="s">
        <v>4</v>
      </c>
      <c r="F127" s="9" t="s">
        <v>5</v>
      </c>
      <c r="G127" s="9" t="s">
        <v>6</v>
      </c>
      <c r="H127" s="40" t="s">
        <v>7</v>
      </c>
      <c r="I127" s="9" t="s">
        <v>8</v>
      </c>
      <c r="J127" s="9" t="s">
        <v>9</v>
      </c>
      <c r="K127" s="1"/>
      <c r="L127" s="1"/>
      <c r="M127" s="1"/>
      <c r="N127" s="1"/>
      <c r="O127" s="1"/>
      <c r="P127" s="1"/>
      <c r="Q127" s="1"/>
      <c r="R127" s="1"/>
      <c r="S127" s="1"/>
      <c r="T127" s="1"/>
      <c r="U127" s="1"/>
      <c r="V127" s="1"/>
      <c r="W127" s="1"/>
      <c r="X127" s="1"/>
      <c r="Y127" s="1"/>
      <c r="Z127" s="1"/>
      <c r="AA127" s="1"/>
      <c r="AB127" s="1"/>
    </row>
    <row r="128" ht="14.25" customHeight="1">
      <c r="A128" s="1"/>
      <c r="B128" s="32">
        <v>1.0</v>
      </c>
      <c r="C128" s="83" t="str">
        <f>'10. QUALITY CHECKING-REVISED'!C287</f>
        <v>#REF!</v>
      </c>
      <c r="D128" s="84" t="str">
        <f t="shared" ref="D128:E128" si="154">'10. QUALITY CHECKING-REVISED'!P287</f>
        <v>#REF!</v>
      </c>
      <c r="E128" s="84" t="str">
        <f t="shared" si="154"/>
        <v>#REF!</v>
      </c>
      <c r="F128" s="16" t="str">
        <f t="shared" ref="F128:G128" si="155">D128/60</f>
        <v>#REF!</v>
      </c>
      <c r="G128" s="16" t="str">
        <f t="shared" si="155"/>
        <v>#REF!</v>
      </c>
      <c r="H128" s="77" t="str">
        <f t="shared" ref="H128:J128" si="156">'10. QUALITY CHECKING-REVISED'!R287</f>
        <v>#REF!</v>
      </c>
      <c r="I128" s="78" t="str">
        <f t="shared" si="156"/>
        <v>#REF!</v>
      </c>
      <c r="J128" s="78" t="str">
        <f t="shared" si="156"/>
        <v>#REF!</v>
      </c>
      <c r="K128" s="1"/>
      <c r="L128" s="1"/>
      <c r="M128" s="1"/>
      <c r="N128" s="1"/>
      <c r="O128" s="1"/>
      <c r="P128" s="1"/>
      <c r="Q128" s="1"/>
      <c r="R128" s="1"/>
      <c r="S128" s="1"/>
      <c r="T128" s="1"/>
      <c r="U128" s="1"/>
      <c r="V128" s="1"/>
      <c r="W128" s="1"/>
      <c r="X128" s="1"/>
      <c r="Y128" s="1"/>
      <c r="Z128" s="1"/>
      <c r="AA128" s="1"/>
      <c r="AB128" s="1"/>
    </row>
    <row r="129" ht="14.25" customHeight="1">
      <c r="A129" s="1"/>
      <c r="B129" s="69" t="s">
        <v>10</v>
      </c>
      <c r="C129" s="47"/>
      <c r="D129" s="70" t="str">
        <f t="shared" ref="D129:E129" si="157">SUM(D128)</f>
        <v>#REF!</v>
      </c>
      <c r="E129" s="70" t="str">
        <f t="shared" si="157"/>
        <v>#REF!</v>
      </c>
      <c r="F129" s="22" t="str">
        <f t="shared" ref="F129:G129" si="158">D129/60</f>
        <v>#REF!</v>
      </c>
      <c r="G129" s="22" t="str">
        <f t="shared" si="158"/>
        <v>#REF!</v>
      </c>
      <c r="H129" s="71" t="str">
        <f>sum(H128)</f>
        <v>#REF!</v>
      </c>
      <c r="I129" s="72"/>
      <c r="J129" s="72"/>
      <c r="K129" s="1"/>
      <c r="L129" s="1"/>
      <c r="M129" s="1"/>
      <c r="N129" s="1"/>
      <c r="O129" s="1"/>
      <c r="P129" s="1"/>
      <c r="Q129" s="1"/>
      <c r="R129" s="1"/>
      <c r="S129" s="1"/>
      <c r="T129" s="1"/>
      <c r="U129" s="1"/>
      <c r="V129" s="1"/>
      <c r="W129" s="1"/>
      <c r="X129" s="1"/>
      <c r="Y129" s="1"/>
      <c r="Z129" s="1"/>
      <c r="AA129" s="1"/>
      <c r="AB129" s="1"/>
    </row>
    <row r="130" ht="14.25" customHeight="1">
      <c r="A130" s="1"/>
      <c r="B130" s="1"/>
      <c r="C130" s="1"/>
      <c r="D130" s="2"/>
      <c r="E130" s="2"/>
      <c r="F130" s="1"/>
      <c r="G130" s="1"/>
      <c r="H130" s="3"/>
      <c r="I130" s="1"/>
      <c r="J130" s="1"/>
      <c r="K130" s="1"/>
      <c r="L130" s="1"/>
      <c r="M130" s="1"/>
      <c r="N130" s="1"/>
      <c r="O130" s="1"/>
      <c r="P130" s="1"/>
      <c r="Q130" s="1"/>
      <c r="R130" s="1"/>
      <c r="S130" s="1"/>
      <c r="T130" s="1"/>
      <c r="U130" s="1"/>
      <c r="V130" s="1"/>
      <c r="W130" s="1"/>
      <c r="X130" s="1"/>
      <c r="Y130" s="1"/>
      <c r="Z130" s="1"/>
      <c r="AA130" s="1"/>
      <c r="AB130" s="1"/>
    </row>
    <row r="131" ht="14.25" customHeight="1">
      <c r="A131" s="1"/>
      <c r="B131" s="36" t="s">
        <v>33</v>
      </c>
      <c r="C131" s="37"/>
      <c r="D131" s="37"/>
      <c r="E131" s="37"/>
      <c r="F131" s="37"/>
      <c r="G131" s="37"/>
      <c r="H131" s="37"/>
      <c r="I131" s="38"/>
      <c r="J131" s="38"/>
      <c r="K131" s="1"/>
      <c r="L131" s="1"/>
      <c r="M131" s="1"/>
      <c r="N131" s="1"/>
      <c r="O131" s="1"/>
      <c r="P131" s="1"/>
      <c r="Q131" s="1"/>
      <c r="R131" s="1"/>
      <c r="S131" s="1"/>
      <c r="T131" s="1"/>
      <c r="U131" s="1"/>
      <c r="V131" s="1"/>
      <c r="W131" s="1"/>
      <c r="X131" s="1"/>
      <c r="Y131" s="1"/>
      <c r="Z131" s="1"/>
      <c r="AA131" s="1"/>
      <c r="AB131" s="1"/>
    </row>
    <row r="132" ht="14.25" customHeight="1">
      <c r="A132" s="1"/>
      <c r="B132" s="9" t="s">
        <v>1</v>
      </c>
      <c r="C132" s="9" t="s">
        <v>2</v>
      </c>
      <c r="D132" s="9" t="s">
        <v>3</v>
      </c>
      <c r="E132" s="9" t="s">
        <v>4</v>
      </c>
      <c r="F132" s="9" t="s">
        <v>5</v>
      </c>
      <c r="G132" s="9" t="s">
        <v>6</v>
      </c>
      <c r="H132" s="40" t="s">
        <v>7</v>
      </c>
      <c r="I132" s="9" t="s">
        <v>8</v>
      </c>
      <c r="J132" s="9" t="s">
        <v>9</v>
      </c>
      <c r="K132" s="1"/>
      <c r="L132" s="1"/>
      <c r="M132" s="1"/>
      <c r="N132" s="1"/>
      <c r="O132" s="1"/>
      <c r="P132" s="1"/>
      <c r="Q132" s="1"/>
      <c r="R132" s="1"/>
      <c r="S132" s="1"/>
      <c r="T132" s="1"/>
      <c r="U132" s="1"/>
      <c r="V132" s="1"/>
      <c r="W132" s="1"/>
      <c r="X132" s="1"/>
      <c r="Y132" s="1"/>
      <c r="Z132" s="1"/>
      <c r="AA132" s="1"/>
      <c r="AB132" s="1"/>
    </row>
    <row r="133" ht="14.25" customHeight="1">
      <c r="A133" s="1"/>
      <c r="B133" s="32">
        <v>1.0</v>
      </c>
      <c r="C133" s="83" t="str">
        <f t="shared" ref="C133:C134" si="162">'11. PACKING'!C9</f>
        <v>#REF!</v>
      </c>
      <c r="D133" s="14" t="str">
        <f t="shared" ref="D133:E133" si="159">'11. PACKING'!P9</f>
        <v>#REF!</v>
      </c>
      <c r="E133" s="83" t="str">
        <f t="shared" si="159"/>
        <v>#REF!</v>
      </c>
      <c r="F133" s="16" t="str">
        <f t="shared" ref="F133:G133" si="160">D133/60</f>
        <v>#REF!</v>
      </c>
      <c r="G133" s="16" t="str">
        <f t="shared" si="160"/>
        <v>#REF!</v>
      </c>
      <c r="H133" s="85" t="str">
        <f t="shared" ref="H133:J133" si="161">'11. PACKING'!R9</f>
        <v>#REF!</v>
      </c>
      <c r="I133" s="86" t="str">
        <f t="shared" si="161"/>
        <v>#REF!</v>
      </c>
      <c r="J133" s="13" t="str">
        <f t="shared" si="161"/>
        <v>#REF!</v>
      </c>
      <c r="K133" s="1"/>
      <c r="L133" s="1"/>
      <c r="M133" s="1"/>
      <c r="N133" s="1"/>
      <c r="O133" s="1"/>
      <c r="P133" s="1"/>
      <c r="Q133" s="1"/>
      <c r="R133" s="1"/>
      <c r="S133" s="1"/>
      <c r="T133" s="1"/>
      <c r="U133" s="1"/>
      <c r="V133" s="1"/>
      <c r="W133" s="1"/>
      <c r="X133" s="1"/>
      <c r="Y133" s="1"/>
      <c r="Z133" s="1"/>
      <c r="AA133" s="1"/>
      <c r="AB133" s="1"/>
    </row>
    <row r="134" ht="14.25" customHeight="1">
      <c r="A134" s="1"/>
      <c r="B134" s="32">
        <v>2.0</v>
      </c>
      <c r="C134" s="75" t="str">
        <f t="shared" si="162"/>
        <v>#REF!</v>
      </c>
      <c r="D134" s="83" t="str">
        <f t="shared" ref="D134:E134" si="163">'11. PACKING'!P10</f>
        <v>#REF!</v>
      </c>
      <c r="E134" s="83" t="str">
        <f t="shared" si="163"/>
        <v>#REF!</v>
      </c>
      <c r="F134" s="16" t="str">
        <f t="shared" ref="F134:G134" si="164">D134/60</f>
        <v>#REF!</v>
      </c>
      <c r="G134" s="16" t="str">
        <f t="shared" si="164"/>
        <v>#REF!</v>
      </c>
      <c r="H134" s="87" t="str">
        <f t="shared" ref="H134:J134" si="165">'11. PACKING'!R10</f>
        <v>#REF!</v>
      </c>
      <c r="I134" s="86" t="str">
        <f t="shared" si="165"/>
        <v>#REF!</v>
      </c>
      <c r="J134" s="86" t="str">
        <f t="shared" si="165"/>
        <v>#REF!</v>
      </c>
      <c r="K134" s="1"/>
      <c r="L134" s="1"/>
      <c r="M134" s="1"/>
      <c r="N134" s="1"/>
      <c r="O134" s="1"/>
      <c r="P134" s="1"/>
      <c r="Q134" s="1"/>
      <c r="R134" s="1"/>
      <c r="S134" s="1"/>
      <c r="T134" s="1"/>
      <c r="U134" s="1"/>
      <c r="V134" s="1"/>
      <c r="W134" s="1"/>
      <c r="X134" s="1"/>
      <c r="Y134" s="1"/>
      <c r="Z134" s="1"/>
      <c r="AA134" s="1"/>
      <c r="AB134" s="1"/>
    </row>
    <row r="135" ht="14.25" customHeight="1">
      <c r="A135" s="1"/>
      <c r="B135" s="69" t="s">
        <v>10</v>
      </c>
      <c r="C135" s="47"/>
      <c r="D135" s="70" t="str">
        <f t="shared" ref="D135:E135" si="166">SUM(D133:D134)</f>
        <v>#REF!</v>
      </c>
      <c r="E135" s="70" t="str">
        <f t="shared" si="166"/>
        <v>#REF!</v>
      </c>
      <c r="F135" s="22" t="str">
        <f t="shared" ref="F135:G135" si="167">D135/60</f>
        <v>#REF!</v>
      </c>
      <c r="G135" s="22" t="str">
        <f t="shared" si="167"/>
        <v>#REF!</v>
      </c>
      <c r="H135" s="71">
        <v>1.0</v>
      </c>
      <c r="I135" s="72"/>
      <c r="J135" s="72"/>
      <c r="K135" s="1"/>
      <c r="L135" s="1"/>
      <c r="M135" s="1"/>
      <c r="N135" s="1"/>
      <c r="O135" s="1"/>
      <c r="P135" s="1"/>
      <c r="Q135" s="1"/>
      <c r="R135" s="1"/>
      <c r="S135" s="1"/>
      <c r="T135" s="1"/>
      <c r="U135" s="1"/>
      <c r="V135" s="1"/>
      <c r="W135" s="1"/>
      <c r="X135" s="1"/>
      <c r="Y135" s="1"/>
      <c r="Z135" s="1"/>
      <c r="AA135" s="1"/>
      <c r="AB135" s="1"/>
    </row>
    <row r="136" ht="14.25" customHeight="1">
      <c r="A136" s="1"/>
      <c r="B136" s="73"/>
      <c r="C136" s="73"/>
      <c r="D136" s="73"/>
      <c r="E136" s="73"/>
      <c r="F136" s="73"/>
      <c r="G136" s="73"/>
      <c r="H136" s="73"/>
      <c r="I136" s="74"/>
      <c r="J136" s="74"/>
      <c r="K136" s="1"/>
      <c r="L136" s="1"/>
      <c r="M136" s="1"/>
      <c r="N136" s="1"/>
      <c r="O136" s="1"/>
      <c r="P136" s="1"/>
      <c r="Q136" s="1"/>
      <c r="R136" s="1"/>
      <c r="S136" s="1"/>
      <c r="T136" s="1"/>
      <c r="U136" s="1"/>
      <c r="V136" s="1"/>
      <c r="W136" s="1"/>
      <c r="X136" s="1"/>
      <c r="Y136" s="1"/>
      <c r="Z136" s="1"/>
      <c r="AA136" s="1"/>
      <c r="AB136" s="1"/>
    </row>
    <row r="137" ht="14.25" customHeight="1">
      <c r="A137" s="1"/>
      <c r="B137" s="36" t="s">
        <v>34</v>
      </c>
      <c r="C137" s="37"/>
      <c r="D137" s="37"/>
      <c r="E137" s="37"/>
      <c r="F137" s="37"/>
      <c r="G137" s="37"/>
      <c r="H137" s="37"/>
      <c r="I137" s="38"/>
      <c r="J137" s="38"/>
      <c r="K137" s="1"/>
      <c r="L137" s="1"/>
      <c r="M137" s="1"/>
      <c r="N137" s="1"/>
      <c r="O137" s="1"/>
      <c r="P137" s="1"/>
      <c r="Q137" s="1"/>
      <c r="R137" s="1"/>
      <c r="S137" s="1"/>
      <c r="T137" s="1"/>
      <c r="U137" s="1"/>
      <c r="V137" s="1"/>
      <c r="W137" s="1"/>
      <c r="X137" s="1"/>
      <c r="Y137" s="1"/>
      <c r="Z137" s="1"/>
      <c r="AA137" s="1"/>
      <c r="AB137" s="1"/>
    </row>
    <row r="138" ht="14.25" customHeight="1">
      <c r="A138" s="1"/>
      <c r="B138" s="9" t="s">
        <v>1</v>
      </c>
      <c r="C138" s="9" t="s">
        <v>2</v>
      </c>
      <c r="D138" s="9" t="s">
        <v>3</v>
      </c>
      <c r="E138" s="9" t="s">
        <v>4</v>
      </c>
      <c r="F138" s="9" t="s">
        <v>5</v>
      </c>
      <c r="G138" s="9" t="s">
        <v>6</v>
      </c>
      <c r="H138" s="40" t="s">
        <v>7</v>
      </c>
      <c r="I138" s="9" t="s">
        <v>8</v>
      </c>
      <c r="J138" s="9" t="s">
        <v>9</v>
      </c>
      <c r="K138" s="1"/>
      <c r="L138" s="1"/>
      <c r="M138" s="1"/>
      <c r="N138" s="1"/>
      <c r="O138" s="1"/>
      <c r="P138" s="1"/>
      <c r="Q138" s="1"/>
      <c r="R138" s="1"/>
      <c r="S138" s="1"/>
      <c r="T138" s="1"/>
      <c r="U138" s="1"/>
      <c r="V138" s="1"/>
      <c r="W138" s="1"/>
      <c r="X138" s="1"/>
      <c r="Y138" s="1"/>
      <c r="Z138" s="1"/>
      <c r="AA138" s="1"/>
      <c r="AB138" s="1"/>
    </row>
    <row r="139" ht="14.25" customHeight="1">
      <c r="A139" s="1"/>
      <c r="B139" s="32">
        <v>1.0</v>
      </c>
      <c r="C139" s="83" t="str">
        <f t="shared" ref="C139:C140" si="171">'11. PACKING'!C47</f>
        <v>#REF!</v>
      </c>
      <c r="D139" s="43" t="str">
        <f t="shared" ref="D139:E139" si="168">'11. PACKING'!P47</f>
        <v>#REF!</v>
      </c>
      <c r="E139" s="43" t="str">
        <f t="shared" si="168"/>
        <v>#REF!</v>
      </c>
      <c r="F139" s="16" t="str">
        <f t="shared" ref="F139:G139" si="169">D139/60</f>
        <v>#REF!</v>
      </c>
      <c r="G139" s="16" t="str">
        <f t="shared" si="169"/>
        <v>#REF!</v>
      </c>
      <c r="H139" s="85" t="str">
        <f t="shared" ref="H139:J139" si="170">'11. PACKING'!R47</f>
        <v>#REF!</v>
      </c>
      <c r="I139" s="86" t="str">
        <f t="shared" si="170"/>
        <v>#REF!</v>
      </c>
      <c r="J139" s="13" t="str">
        <f t="shared" si="170"/>
        <v>#REF!</v>
      </c>
      <c r="K139" s="1"/>
      <c r="L139" s="1"/>
      <c r="M139" s="1"/>
      <c r="N139" s="1"/>
      <c r="O139" s="1"/>
      <c r="P139" s="1"/>
      <c r="Q139" s="1"/>
      <c r="R139" s="1"/>
      <c r="S139" s="1"/>
      <c r="T139" s="1"/>
      <c r="U139" s="1"/>
      <c r="V139" s="1"/>
      <c r="W139" s="1"/>
      <c r="X139" s="1"/>
      <c r="Y139" s="1"/>
      <c r="Z139" s="1"/>
      <c r="AA139" s="1"/>
      <c r="AB139" s="1"/>
    </row>
    <row r="140" ht="14.25" customHeight="1">
      <c r="A140" s="1"/>
      <c r="B140" s="32">
        <v>2.0</v>
      </c>
      <c r="C140" s="75" t="str">
        <f t="shared" si="171"/>
        <v>#REF!</v>
      </c>
      <c r="D140" s="43" t="str">
        <f t="shared" ref="D140:E140" si="172">'11. PACKING'!P48</f>
        <v>#REF!</v>
      </c>
      <c r="E140" s="43" t="str">
        <f t="shared" si="172"/>
        <v>#REF!</v>
      </c>
      <c r="F140" s="16" t="str">
        <f t="shared" ref="F140:G140" si="173">D140/60</f>
        <v>#REF!</v>
      </c>
      <c r="G140" s="16" t="str">
        <f t="shared" si="173"/>
        <v>#REF!</v>
      </c>
      <c r="H140" s="87" t="str">
        <f t="shared" ref="H140:J140" si="174">'11. PACKING'!R48</f>
        <v>#REF!</v>
      </c>
      <c r="I140" s="86" t="str">
        <f t="shared" si="174"/>
        <v>#REF!</v>
      </c>
      <c r="J140" s="86" t="str">
        <f t="shared" si="174"/>
        <v>#REF!</v>
      </c>
      <c r="K140" s="1"/>
      <c r="L140" s="1"/>
      <c r="M140" s="1"/>
      <c r="N140" s="1"/>
      <c r="O140" s="1"/>
      <c r="P140" s="1"/>
      <c r="Q140" s="1"/>
      <c r="R140" s="1"/>
      <c r="S140" s="1"/>
      <c r="T140" s="1"/>
      <c r="U140" s="1"/>
      <c r="V140" s="1"/>
      <c r="W140" s="1"/>
      <c r="X140" s="1"/>
      <c r="Y140" s="1"/>
      <c r="Z140" s="1"/>
      <c r="AA140" s="1"/>
      <c r="AB140" s="1"/>
    </row>
    <row r="141" ht="14.25" customHeight="1">
      <c r="A141" s="1"/>
      <c r="B141" s="69" t="s">
        <v>10</v>
      </c>
      <c r="C141" s="47"/>
      <c r="D141" s="70" t="str">
        <f t="shared" ref="D141:E141" si="175">SUM(D139:D140)</f>
        <v>#REF!</v>
      </c>
      <c r="E141" s="70" t="str">
        <f t="shared" si="175"/>
        <v>#REF!</v>
      </c>
      <c r="F141" s="22" t="str">
        <f t="shared" ref="F141:G141" si="176">D141/60</f>
        <v>#REF!</v>
      </c>
      <c r="G141" s="22" t="str">
        <f t="shared" si="176"/>
        <v>#REF!</v>
      </c>
      <c r="H141" s="71">
        <v>1.0</v>
      </c>
      <c r="I141" s="72"/>
      <c r="J141" s="72"/>
      <c r="K141" s="1"/>
      <c r="L141" s="1"/>
      <c r="M141" s="1"/>
      <c r="N141" s="1"/>
      <c r="O141" s="1"/>
      <c r="P141" s="1"/>
      <c r="Q141" s="1"/>
      <c r="R141" s="1"/>
      <c r="S141" s="1"/>
      <c r="T141" s="1"/>
      <c r="U141" s="1"/>
      <c r="V141" s="1"/>
      <c r="W141" s="1"/>
      <c r="X141" s="1"/>
      <c r="Y141" s="1"/>
      <c r="Z141" s="1"/>
      <c r="AA141" s="1"/>
      <c r="AB141" s="1"/>
    </row>
    <row r="142" ht="14.25" customHeight="1">
      <c r="A142" s="1"/>
      <c r="B142" s="1"/>
      <c r="C142" s="1"/>
      <c r="D142" s="2"/>
      <c r="E142" s="2"/>
      <c r="F142" s="1"/>
      <c r="G142" s="1"/>
      <c r="H142" s="3"/>
      <c r="I142" s="1"/>
      <c r="J142" s="1"/>
      <c r="K142" s="1"/>
      <c r="L142" s="1"/>
      <c r="M142" s="1"/>
      <c r="N142" s="1"/>
      <c r="O142" s="1"/>
      <c r="P142" s="1"/>
      <c r="Q142" s="1"/>
      <c r="R142" s="1"/>
      <c r="S142" s="1"/>
      <c r="T142" s="1"/>
      <c r="U142" s="1"/>
      <c r="V142" s="1"/>
      <c r="W142" s="1"/>
      <c r="X142" s="1"/>
      <c r="Y142" s="1"/>
      <c r="Z142" s="1"/>
      <c r="AA142" s="1"/>
      <c r="AB142" s="1"/>
    </row>
    <row r="143" ht="14.25" customHeight="1">
      <c r="A143" s="1"/>
      <c r="B143" s="88" t="s">
        <v>35</v>
      </c>
      <c r="C143" s="37"/>
      <c r="D143" s="37"/>
      <c r="E143" s="37"/>
      <c r="F143" s="37"/>
      <c r="G143" s="37"/>
      <c r="H143" s="37"/>
      <c r="I143" s="89"/>
      <c r="J143" s="89"/>
      <c r="K143" s="1"/>
      <c r="L143" s="1"/>
      <c r="M143" s="1"/>
      <c r="N143" s="1"/>
      <c r="O143" s="1"/>
      <c r="P143" s="1"/>
      <c r="Q143" s="1"/>
      <c r="R143" s="1"/>
      <c r="S143" s="1"/>
      <c r="T143" s="1"/>
      <c r="U143" s="1"/>
      <c r="V143" s="1"/>
      <c r="W143" s="1"/>
      <c r="X143" s="1"/>
      <c r="Y143" s="1"/>
      <c r="Z143" s="1"/>
      <c r="AA143" s="1"/>
      <c r="AB143" s="1"/>
    </row>
    <row r="144" ht="14.25" customHeight="1">
      <c r="A144" s="1"/>
      <c r="B144" s="9" t="s">
        <v>1</v>
      </c>
      <c r="C144" s="9" t="s">
        <v>2</v>
      </c>
      <c r="D144" s="9" t="s">
        <v>3</v>
      </c>
      <c r="E144" s="9" t="s">
        <v>4</v>
      </c>
      <c r="F144" s="9" t="s">
        <v>5</v>
      </c>
      <c r="G144" s="9" t="s">
        <v>6</v>
      </c>
      <c r="H144" s="40" t="s">
        <v>7</v>
      </c>
      <c r="I144" s="9" t="s">
        <v>8</v>
      </c>
      <c r="J144" s="9" t="s">
        <v>9</v>
      </c>
      <c r="K144" s="1"/>
      <c r="L144" s="1"/>
      <c r="M144" s="1"/>
      <c r="N144" s="1"/>
      <c r="O144" s="1"/>
      <c r="P144" s="1"/>
      <c r="Q144" s="1"/>
      <c r="R144" s="1"/>
      <c r="S144" s="1"/>
      <c r="T144" s="1"/>
      <c r="U144" s="1"/>
      <c r="V144" s="1"/>
      <c r="W144" s="1"/>
      <c r="X144" s="1"/>
      <c r="Y144" s="1"/>
      <c r="Z144" s="1"/>
      <c r="AA144" s="1"/>
      <c r="AB144" s="1"/>
    </row>
    <row r="145" ht="14.25" customHeight="1">
      <c r="A145" s="1"/>
      <c r="B145" s="32">
        <v>1.0</v>
      </c>
      <c r="C145" s="83" t="str">
        <f t="shared" ref="C145:C146" si="180">'11. PACKING'!C83</f>
        <v>#REF!</v>
      </c>
      <c r="D145" s="83" t="str">
        <f t="shared" ref="D145:E145" si="177">'11. PACKING'!P83</f>
        <v>#REF!</v>
      </c>
      <c r="E145" s="83" t="str">
        <f t="shared" si="177"/>
        <v>#REF!</v>
      </c>
      <c r="F145" s="16" t="str">
        <f t="shared" ref="F145:G145" si="178">D145/60</f>
        <v>#REF!</v>
      </c>
      <c r="G145" s="16" t="str">
        <f t="shared" si="178"/>
        <v>#REF!</v>
      </c>
      <c r="H145" s="90" t="str">
        <f t="shared" ref="H145:J145" si="179">'11. PACKING'!R83</f>
        <v>#REF!</v>
      </c>
      <c r="I145" s="91" t="str">
        <f t="shared" si="179"/>
        <v>#REF!</v>
      </c>
      <c r="J145" s="92" t="str">
        <f t="shared" si="179"/>
        <v>#REF!</v>
      </c>
      <c r="K145" s="1"/>
      <c r="L145" s="1"/>
      <c r="M145" s="1"/>
      <c r="N145" s="1"/>
      <c r="O145" s="1"/>
      <c r="P145" s="1"/>
      <c r="Q145" s="1"/>
      <c r="R145" s="1"/>
      <c r="S145" s="1"/>
      <c r="T145" s="1"/>
      <c r="U145" s="1"/>
      <c r="V145" s="1"/>
      <c r="W145" s="1"/>
      <c r="X145" s="1"/>
      <c r="Y145" s="1"/>
      <c r="Z145" s="1"/>
      <c r="AA145" s="1"/>
      <c r="AB145" s="1"/>
    </row>
    <row r="146" ht="14.25" customHeight="1">
      <c r="A146" s="1"/>
      <c r="B146" s="32">
        <v>2.0</v>
      </c>
      <c r="C146" s="83" t="str">
        <f t="shared" si="180"/>
        <v>#REF!</v>
      </c>
      <c r="D146" s="83" t="str">
        <f t="shared" ref="D146:E146" si="181">'11. PACKING'!P84</f>
        <v>#REF!</v>
      </c>
      <c r="E146" s="83" t="str">
        <f t="shared" si="181"/>
        <v>#REF!</v>
      </c>
      <c r="F146" s="16" t="str">
        <f t="shared" ref="F146:G146" si="182">D146/60</f>
        <v>#REF!</v>
      </c>
      <c r="G146" s="16" t="str">
        <f t="shared" si="182"/>
        <v>#REF!</v>
      </c>
      <c r="H146" s="93" t="str">
        <f t="shared" ref="H146:J146" si="183">'11. PACKING'!R84</f>
        <v>#REF!</v>
      </c>
      <c r="I146" s="92" t="str">
        <f t="shared" si="183"/>
        <v>#REF!</v>
      </c>
      <c r="J146" s="92" t="str">
        <f t="shared" si="183"/>
        <v>#REF!</v>
      </c>
      <c r="K146" s="1"/>
      <c r="L146" s="1"/>
      <c r="M146" s="1"/>
      <c r="N146" s="1"/>
      <c r="O146" s="1"/>
      <c r="P146" s="1"/>
      <c r="Q146" s="1"/>
      <c r="R146" s="1"/>
      <c r="S146" s="1"/>
      <c r="T146" s="1"/>
      <c r="U146" s="1"/>
      <c r="V146" s="1"/>
      <c r="W146" s="1"/>
      <c r="X146" s="1"/>
      <c r="Y146" s="1"/>
      <c r="Z146" s="1"/>
      <c r="AA146" s="1"/>
      <c r="AB146" s="1"/>
    </row>
    <row r="147" ht="14.25" customHeight="1">
      <c r="A147" s="1"/>
      <c r="B147" s="94" t="s">
        <v>10</v>
      </c>
      <c r="C147" s="47"/>
      <c r="D147" s="95" t="str">
        <f t="shared" ref="D147:E147" si="184">SUM(D145:D146)</f>
        <v>#REF!</v>
      </c>
      <c r="E147" s="95" t="str">
        <f t="shared" si="184"/>
        <v>#REF!</v>
      </c>
      <c r="F147" s="22" t="str">
        <f t="shared" ref="F147:G147" si="185">D147/60</f>
        <v>#REF!</v>
      </c>
      <c r="G147" s="22" t="str">
        <f t="shared" si="185"/>
        <v>#REF!</v>
      </c>
      <c r="H147" s="96" t="str">
        <f>sum(H145,H146)</f>
        <v>#REF!</v>
      </c>
      <c r="I147" s="97"/>
      <c r="J147" s="97"/>
      <c r="K147" s="1"/>
      <c r="L147" s="1"/>
      <c r="M147" s="1"/>
      <c r="N147" s="1"/>
      <c r="O147" s="1"/>
      <c r="P147" s="1"/>
      <c r="Q147" s="1"/>
      <c r="R147" s="1"/>
      <c r="S147" s="1"/>
      <c r="T147" s="1"/>
      <c r="U147" s="1"/>
      <c r="V147" s="1"/>
      <c r="W147" s="1"/>
      <c r="X147" s="1"/>
      <c r="Y147" s="1"/>
      <c r="Z147" s="1"/>
      <c r="AA147" s="1"/>
      <c r="AB147" s="1"/>
    </row>
    <row r="148" ht="14.25" customHeight="1">
      <c r="A148" s="1"/>
      <c r="B148" s="1"/>
      <c r="C148" s="1"/>
      <c r="D148" s="2"/>
      <c r="E148" s="2"/>
      <c r="F148" s="1"/>
      <c r="G148" s="1"/>
      <c r="H148" s="3"/>
      <c r="I148" s="1"/>
      <c r="J148" s="1"/>
      <c r="K148" s="1"/>
      <c r="L148" s="1"/>
      <c r="M148" s="1"/>
      <c r="N148" s="1"/>
      <c r="O148" s="1"/>
      <c r="P148" s="1"/>
      <c r="Q148" s="1"/>
      <c r="R148" s="1"/>
      <c r="S148" s="1"/>
      <c r="T148" s="1"/>
      <c r="U148" s="1"/>
      <c r="V148" s="1"/>
      <c r="W148" s="1"/>
      <c r="X148" s="1"/>
      <c r="Y148" s="1"/>
      <c r="Z148" s="1"/>
      <c r="AA148" s="1"/>
      <c r="AB148" s="1"/>
    </row>
    <row r="149" ht="14.25" customHeight="1">
      <c r="A149" s="1"/>
      <c r="B149" s="88" t="s">
        <v>36</v>
      </c>
      <c r="C149" s="37"/>
      <c r="D149" s="37"/>
      <c r="E149" s="37"/>
      <c r="F149" s="37"/>
      <c r="G149" s="37"/>
      <c r="H149" s="37"/>
      <c r="I149" s="89"/>
      <c r="J149" s="89"/>
      <c r="K149" s="1"/>
      <c r="L149" s="1"/>
      <c r="M149" s="1"/>
      <c r="N149" s="1"/>
      <c r="O149" s="1"/>
      <c r="P149" s="1"/>
      <c r="Q149" s="1"/>
      <c r="R149" s="1"/>
      <c r="S149" s="1"/>
      <c r="T149" s="1"/>
      <c r="U149" s="1"/>
      <c r="V149" s="1"/>
      <c r="W149" s="1"/>
      <c r="X149" s="1"/>
      <c r="Y149" s="1"/>
      <c r="Z149" s="1"/>
      <c r="AA149" s="1"/>
      <c r="AB149" s="1"/>
    </row>
    <row r="150" ht="14.25" customHeight="1">
      <c r="A150" s="1"/>
      <c r="B150" s="9" t="s">
        <v>1</v>
      </c>
      <c r="C150" s="9" t="s">
        <v>2</v>
      </c>
      <c r="D150" s="9" t="s">
        <v>3</v>
      </c>
      <c r="E150" s="9" t="s">
        <v>4</v>
      </c>
      <c r="F150" s="9" t="s">
        <v>5</v>
      </c>
      <c r="G150" s="9" t="s">
        <v>6</v>
      </c>
      <c r="H150" s="9" t="s">
        <v>7</v>
      </c>
      <c r="I150" s="9" t="s">
        <v>8</v>
      </c>
      <c r="J150" s="9" t="s">
        <v>9</v>
      </c>
      <c r="K150" s="1"/>
      <c r="L150" s="1"/>
      <c r="M150" s="1"/>
      <c r="N150" s="1"/>
      <c r="O150" s="1"/>
      <c r="P150" s="1"/>
      <c r="Q150" s="1"/>
      <c r="R150" s="1"/>
      <c r="S150" s="1"/>
      <c r="T150" s="1"/>
      <c r="U150" s="1"/>
      <c r="V150" s="1"/>
      <c r="W150" s="1"/>
      <c r="X150" s="1"/>
      <c r="Y150" s="1"/>
      <c r="Z150" s="1"/>
      <c r="AA150" s="1"/>
      <c r="AB150" s="1"/>
    </row>
    <row r="151" ht="14.25" customHeight="1">
      <c r="A151" s="1"/>
      <c r="B151" s="32">
        <v>1.0</v>
      </c>
      <c r="C151" s="98" t="str">
        <f t="shared" ref="C151:C152" si="189">'11. PACKING'!C119</f>
        <v>#REF!</v>
      </c>
      <c r="D151" s="99" t="str">
        <f t="shared" ref="D151:E151" si="186">'11. PACKING'!P119</f>
        <v>#REF!</v>
      </c>
      <c r="E151" s="99" t="str">
        <f t="shared" si="186"/>
        <v>#REF!</v>
      </c>
      <c r="F151" s="16" t="str">
        <f t="shared" ref="F151:G151" si="187">D151/60</f>
        <v>#REF!</v>
      </c>
      <c r="G151" s="16" t="str">
        <f t="shared" si="187"/>
        <v>#REF!</v>
      </c>
      <c r="H151" s="100" t="str">
        <f t="shared" ref="H151:J151" si="188">'11. PACKING'!R119</f>
        <v>#REF!</v>
      </c>
      <c r="I151" s="101" t="str">
        <f t="shared" si="188"/>
        <v>#REF!</v>
      </c>
      <c r="J151" s="101" t="str">
        <f t="shared" si="188"/>
        <v>#REF!</v>
      </c>
      <c r="K151" s="1"/>
      <c r="L151" s="1"/>
      <c r="M151" s="1"/>
      <c r="N151" s="1"/>
      <c r="O151" s="1"/>
      <c r="P151" s="1"/>
      <c r="Q151" s="1"/>
      <c r="R151" s="1"/>
      <c r="S151" s="1"/>
      <c r="T151" s="1"/>
      <c r="U151" s="1"/>
      <c r="V151" s="1"/>
      <c r="W151" s="1"/>
      <c r="X151" s="1"/>
      <c r="Y151" s="1"/>
      <c r="Z151" s="1"/>
      <c r="AA151" s="1"/>
      <c r="AB151" s="1"/>
    </row>
    <row r="152" ht="14.25" customHeight="1">
      <c r="A152" s="1"/>
      <c r="B152" s="32">
        <v>2.0</v>
      </c>
      <c r="C152" s="98" t="str">
        <f t="shared" si="189"/>
        <v>#REF!</v>
      </c>
      <c r="D152" s="99" t="str">
        <f t="shared" ref="D152:E152" si="190">'11. PACKING'!P120</f>
        <v>#REF!</v>
      </c>
      <c r="E152" s="99" t="str">
        <f t="shared" si="190"/>
        <v>#REF!</v>
      </c>
      <c r="F152" s="16" t="str">
        <f t="shared" ref="F152:G152" si="191">D152/60</f>
        <v>#REF!</v>
      </c>
      <c r="G152" s="16" t="str">
        <f t="shared" si="191"/>
        <v>#REF!</v>
      </c>
      <c r="H152" s="102" t="str">
        <f t="shared" ref="H152:H153" si="194">'11. PACKING'!R120</f>
        <v>#REF!</v>
      </c>
      <c r="I152" s="103"/>
      <c r="J152" s="103"/>
      <c r="K152" s="1"/>
      <c r="L152" s="1"/>
      <c r="M152" s="1"/>
      <c r="N152" s="1"/>
      <c r="O152" s="1"/>
      <c r="P152" s="1"/>
      <c r="Q152" s="1"/>
      <c r="R152" s="1"/>
      <c r="S152" s="1"/>
      <c r="T152" s="1"/>
      <c r="U152" s="1"/>
      <c r="V152" s="1"/>
      <c r="W152" s="1"/>
      <c r="X152" s="1"/>
      <c r="Y152" s="1"/>
      <c r="Z152" s="1"/>
      <c r="AA152" s="1"/>
      <c r="AB152" s="1"/>
    </row>
    <row r="153" ht="14.25" customHeight="1">
      <c r="A153" s="1"/>
      <c r="B153" s="94" t="s">
        <v>10</v>
      </c>
      <c r="C153" s="47"/>
      <c r="D153" s="49" t="str">
        <f t="shared" ref="D153:E153" si="192">SUM(D151:D152)</f>
        <v>#REF!</v>
      </c>
      <c r="E153" s="49" t="str">
        <f t="shared" si="192"/>
        <v>#REF!</v>
      </c>
      <c r="F153" s="22" t="str">
        <f t="shared" ref="F153:G153" si="193">D153/60</f>
        <v>#REF!</v>
      </c>
      <c r="G153" s="22" t="str">
        <f t="shared" si="193"/>
        <v>#REF!</v>
      </c>
      <c r="H153" s="104" t="str">
        <f t="shared" si="194"/>
        <v>#REF!</v>
      </c>
      <c r="I153" s="97"/>
      <c r="J153" s="97"/>
      <c r="K153" s="1"/>
      <c r="L153" s="1"/>
      <c r="M153" s="1"/>
      <c r="N153" s="1"/>
      <c r="O153" s="1"/>
      <c r="P153" s="1"/>
      <c r="Q153" s="1"/>
      <c r="R153" s="1"/>
      <c r="S153" s="1"/>
      <c r="T153" s="1"/>
      <c r="U153" s="1"/>
      <c r="V153" s="1"/>
      <c r="W153" s="1"/>
      <c r="X153" s="1"/>
      <c r="Y153" s="1"/>
      <c r="Z153" s="1"/>
      <c r="AA153" s="1"/>
      <c r="AB153" s="1"/>
    </row>
    <row r="154" ht="14.25" customHeight="1">
      <c r="A154" s="1"/>
      <c r="B154" s="1"/>
      <c r="C154" s="1"/>
      <c r="D154" s="2"/>
      <c r="E154" s="2"/>
      <c r="F154" s="1"/>
      <c r="G154" s="1"/>
      <c r="H154" s="3"/>
      <c r="I154" s="1"/>
      <c r="J154" s="1"/>
      <c r="K154" s="1"/>
      <c r="L154" s="1"/>
      <c r="M154" s="1"/>
      <c r="N154" s="1"/>
      <c r="O154" s="1"/>
      <c r="P154" s="1"/>
      <c r="Q154" s="1"/>
      <c r="R154" s="1"/>
      <c r="S154" s="1"/>
      <c r="T154" s="1"/>
      <c r="U154" s="1"/>
      <c r="V154" s="1"/>
      <c r="W154" s="1"/>
      <c r="X154" s="1"/>
      <c r="Y154" s="1"/>
      <c r="Z154" s="1"/>
      <c r="AA154" s="1"/>
      <c r="AB154" s="1"/>
    </row>
    <row r="155" ht="14.25" customHeight="1">
      <c r="A155" s="1"/>
      <c r="B155" s="88" t="s">
        <v>37</v>
      </c>
      <c r="C155" s="37"/>
      <c r="D155" s="37"/>
      <c r="E155" s="37"/>
      <c r="F155" s="37"/>
      <c r="G155" s="37"/>
      <c r="H155" s="37"/>
      <c r="I155" s="89"/>
      <c r="J155" s="89"/>
      <c r="K155" s="1"/>
      <c r="L155" s="1"/>
      <c r="M155" s="1"/>
      <c r="N155" s="1"/>
      <c r="O155" s="1"/>
      <c r="P155" s="1"/>
      <c r="Q155" s="1"/>
      <c r="R155" s="1"/>
      <c r="S155" s="1"/>
      <c r="T155" s="1"/>
      <c r="U155" s="1"/>
      <c r="V155" s="1"/>
      <c r="W155" s="1"/>
      <c r="X155" s="1"/>
      <c r="Y155" s="1"/>
      <c r="Z155" s="1"/>
      <c r="AA155" s="1"/>
      <c r="AB155" s="1"/>
    </row>
    <row r="156" ht="14.25" customHeight="1">
      <c r="A156" s="1"/>
      <c r="B156" s="9" t="s">
        <v>1</v>
      </c>
      <c r="C156" s="9" t="s">
        <v>2</v>
      </c>
      <c r="D156" s="9" t="s">
        <v>3</v>
      </c>
      <c r="E156" s="9" t="s">
        <v>4</v>
      </c>
      <c r="F156" s="9" t="s">
        <v>5</v>
      </c>
      <c r="G156" s="9" t="s">
        <v>6</v>
      </c>
      <c r="H156" s="40" t="s">
        <v>7</v>
      </c>
      <c r="I156" s="9" t="s">
        <v>8</v>
      </c>
      <c r="J156" s="9" t="s">
        <v>9</v>
      </c>
      <c r="K156" s="1"/>
      <c r="L156" s="1"/>
      <c r="M156" s="1"/>
      <c r="N156" s="1"/>
      <c r="O156" s="1"/>
      <c r="P156" s="1"/>
      <c r="Q156" s="1"/>
      <c r="R156" s="1"/>
      <c r="S156" s="1"/>
      <c r="T156" s="1"/>
      <c r="U156" s="1"/>
      <c r="V156" s="1"/>
      <c r="W156" s="1"/>
      <c r="X156" s="1"/>
      <c r="Y156" s="1"/>
      <c r="Z156" s="1"/>
      <c r="AA156" s="1"/>
      <c r="AB156" s="1"/>
    </row>
    <row r="157" ht="14.25" customHeight="1">
      <c r="A157" s="1"/>
      <c r="B157" s="105">
        <v>1.0</v>
      </c>
      <c r="C157" s="98" t="str">
        <f t="shared" ref="C157:C160" si="198">'11. PACKING'!C189</f>
        <v>#REF!</v>
      </c>
      <c r="D157" s="106" t="str">
        <f t="shared" ref="D157:E157" si="195">'11. PACKING'!P189</f>
        <v>#REF!</v>
      </c>
      <c r="E157" s="106" t="str">
        <f t="shared" si="195"/>
        <v>#REF!</v>
      </c>
      <c r="F157" s="16" t="str">
        <f t="shared" ref="F157:G157" si="196">D157/60</f>
        <v>#REF!</v>
      </c>
      <c r="G157" s="16" t="str">
        <f t="shared" si="196"/>
        <v>#REF!</v>
      </c>
      <c r="H157" s="107" t="str">
        <f t="shared" ref="H157:J157" si="197">'11. PACKING'!R189</f>
        <v>#REF!</v>
      </c>
      <c r="I157" s="108" t="str">
        <f t="shared" si="197"/>
        <v>#REF!</v>
      </c>
      <c r="J157" s="109" t="str">
        <f t="shared" si="197"/>
        <v>#REF!</v>
      </c>
      <c r="K157" s="1"/>
      <c r="L157" s="1"/>
      <c r="M157" s="1"/>
      <c r="N157" s="1"/>
      <c r="O157" s="1"/>
      <c r="P157" s="1"/>
      <c r="Q157" s="1"/>
      <c r="R157" s="1"/>
      <c r="S157" s="1"/>
      <c r="T157" s="1"/>
      <c r="U157" s="1"/>
      <c r="V157" s="1"/>
      <c r="W157" s="1"/>
      <c r="X157" s="1"/>
      <c r="Y157" s="1"/>
      <c r="Z157" s="1"/>
      <c r="AA157" s="1"/>
      <c r="AB157" s="1"/>
    </row>
    <row r="158" ht="14.25" customHeight="1">
      <c r="A158" s="1"/>
      <c r="B158" s="105">
        <v>2.0</v>
      </c>
      <c r="C158" s="98" t="str">
        <f t="shared" si="198"/>
        <v>#REF!</v>
      </c>
      <c r="D158" s="106" t="str">
        <f t="shared" ref="D158:E158" si="199">'11. PACKING'!P190</f>
        <v>#REF!</v>
      </c>
      <c r="E158" s="106" t="str">
        <f t="shared" si="199"/>
        <v>#REF!</v>
      </c>
      <c r="F158" s="16" t="str">
        <f t="shared" ref="F158:G158" si="200">D158/60</f>
        <v>#REF!</v>
      </c>
      <c r="G158" s="16" t="str">
        <f t="shared" si="200"/>
        <v>#REF!</v>
      </c>
      <c r="H158" s="107" t="str">
        <f t="shared" ref="H158:H160" si="203">'11. PACKING'!R190</f>
        <v>#REF!</v>
      </c>
      <c r="I158" s="110"/>
      <c r="J158" s="110"/>
      <c r="K158" s="1"/>
      <c r="L158" s="1"/>
      <c r="M158" s="1"/>
      <c r="N158" s="1"/>
      <c r="O158" s="1"/>
      <c r="P158" s="1"/>
      <c r="Q158" s="1"/>
      <c r="R158" s="1"/>
      <c r="S158" s="1"/>
      <c r="T158" s="1"/>
      <c r="U158" s="1"/>
      <c r="V158" s="1"/>
      <c r="W158" s="1"/>
      <c r="X158" s="1"/>
      <c r="Y158" s="1"/>
      <c r="Z158" s="1"/>
      <c r="AA158" s="1"/>
      <c r="AB158" s="1"/>
    </row>
    <row r="159" ht="14.25" customHeight="1">
      <c r="A159" s="1"/>
      <c r="B159" s="105">
        <v>3.0</v>
      </c>
      <c r="C159" s="98" t="str">
        <f t="shared" si="198"/>
        <v>#REF!</v>
      </c>
      <c r="D159" s="111" t="str">
        <f t="shared" ref="D159:E159" si="201">'11. PACKING'!P191</f>
        <v>#REF!</v>
      </c>
      <c r="E159" s="111" t="str">
        <f t="shared" si="201"/>
        <v>#REF!</v>
      </c>
      <c r="F159" s="16" t="str">
        <f t="shared" ref="F159:G159" si="202">D159/60</f>
        <v>#REF!</v>
      </c>
      <c r="G159" s="16" t="str">
        <f t="shared" si="202"/>
        <v>#REF!</v>
      </c>
      <c r="H159" s="112" t="str">
        <f t="shared" si="203"/>
        <v>#REF!</v>
      </c>
      <c r="I159" s="110"/>
      <c r="J159" s="110"/>
      <c r="K159" s="1"/>
      <c r="L159" s="1"/>
      <c r="M159" s="1"/>
      <c r="N159" s="1"/>
      <c r="O159" s="1"/>
      <c r="P159" s="1"/>
      <c r="Q159" s="1"/>
      <c r="R159" s="1"/>
      <c r="S159" s="1"/>
      <c r="T159" s="1"/>
      <c r="U159" s="1"/>
      <c r="V159" s="1"/>
      <c r="W159" s="1"/>
      <c r="X159" s="1"/>
      <c r="Y159" s="1"/>
      <c r="Z159" s="1"/>
      <c r="AA159" s="1"/>
      <c r="AB159" s="1"/>
    </row>
    <row r="160" ht="14.25" customHeight="1">
      <c r="A160" s="1"/>
      <c r="B160" s="105">
        <v>4.0</v>
      </c>
      <c r="C160" s="98" t="str">
        <f t="shared" si="198"/>
        <v>#REF!</v>
      </c>
      <c r="D160" s="106" t="str">
        <f t="shared" ref="D160:E160" si="204">'11. PACKING'!P192</f>
        <v>#REF!</v>
      </c>
      <c r="E160" s="106" t="str">
        <f t="shared" si="204"/>
        <v>#REF!</v>
      </c>
      <c r="F160" s="16" t="str">
        <f t="shared" ref="F160:G160" si="205">D160/60</f>
        <v>#REF!</v>
      </c>
      <c r="G160" s="16" t="str">
        <f t="shared" si="205"/>
        <v>#REF!</v>
      </c>
      <c r="H160" s="107" t="str">
        <f t="shared" si="203"/>
        <v>#REF!</v>
      </c>
      <c r="I160" s="113"/>
      <c r="J160" s="113"/>
      <c r="K160" s="1"/>
      <c r="L160" s="1"/>
      <c r="M160" s="1"/>
      <c r="N160" s="1"/>
      <c r="O160" s="1"/>
      <c r="P160" s="1"/>
      <c r="Q160" s="1"/>
      <c r="R160" s="1"/>
      <c r="S160" s="1"/>
      <c r="T160" s="1"/>
      <c r="U160" s="1"/>
      <c r="V160" s="1"/>
      <c r="W160" s="1"/>
      <c r="X160" s="1"/>
      <c r="Y160" s="1"/>
      <c r="Z160" s="1"/>
      <c r="AA160" s="1"/>
      <c r="AB160" s="1"/>
    </row>
    <row r="161" ht="14.25" customHeight="1">
      <c r="A161" s="1"/>
      <c r="B161" s="94" t="s">
        <v>10</v>
      </c>
      <c r="C161" s="47"/>
      <c r="D161" s="95" t="str">
        <f t="shared" ref="D161:E161" si="206">SUM(D157:D160)</f>
        <v>#REF!</v>
      </c>
      <c r="E161" s="95" t="str">
        <f t="shared" si="206"/>
        <v>#REF!</v>
      </c>
      <c r="F161" s="22" t="str">
        <f t="shared" ref="F161:G161" si="207">D161/60</f>
        <v>#REF!</v>
      </c>
      <c r="G161" s="22" t="str">
        <f t="shared" si="207"/>
        <v>#REF!</v>
      </c>
      <c r="H161" s="96" t="str">
        <f>sum(H157:H160)</f>
        <v>#REF!</v>
      </c>
      <c r="I161" s="97"/>
      <c r="J161" s="97"/>
      <c r="K161" s="1"/>
      <c r="L161" s="1"/>
      <c r="M161" s="1"/>
      <c r="N161" s="1"/>
      <c r="O161" s="1"/>
      <c r="P161" s="1"/>
      <c r="Q161" s="1"/>
      <c r="R161" s="1"/>
      <c r="S161" s="1"/>
      <c r="T161" s="1"/>
      <c r="U161" s="1"/>
      <c r="V161" s="1"/>
      <c r="W161" s="1"/>
      <c r="X161" s="1"/>
      <c r="Y161" s="1"/>
      <c r="Z161" s="1"/>
      <c r="AA161" s="1"/>
      <c r="AB161" s="1"/>
    </row>
    <row r="162" ht="14.25" customHeight="1">
      <c r="A162" s="1"/>
      <c r="B162" s="1"/>
      <c r="C162" s="1"/>
      <c r="D162" s="2"/>
      <c r="E162" s="2"/>
      <c r="F162" s="1"/>
      <c r="G162" s="1"/>
      <c r="H162" s="3"/>
      <c r="I162" s="1"/>
      <c r="J162" s="1"/>
      <c r="K162" s="1"/>
      <c r="L162" s="1"/>
      <c r="M162" s="1"/>
      <c r="N162" s="1"/>
      <c r="O162" s="1"/>
      <c r="P162" s="1"/>
      <c r="Q162" s="1"/>
      <c r="R162" s="1"/>
      <c r="S162" s="1"/>
      <c r="T162" s="1"/>
      <c r="U162" s="1"/>
      <c r="V162" s="1"/>
      <c r="W162" s="1"/>
      <c r="X162" s="1"/>
      <c r="Y162" s="1"/>
      <c r="Z162" s="1"/>
      <c r="AA162" s="1"/>
      <c r="AB162" s="1"/>
    </row>
    <row r="163" ht="14.25" customHeight="1">
      <c r="A163" s="1"/>
      <c r="B163" s="88" t="s">
        <v>38</v>
      </c>
      <c r="C163" s="37"/>
      <c r="D163" s="37"/>
      <c r="E163" s="37"/>
      <c r="F163" s="37"/>
      <c r="G163" s="37"/>
      <c r="H163" s="37"/>
      <c r="I163" s="89"/>
      <c r="J163" s="89"/>
      <c r="K163" s="1"/>
      <c r="L163" s="1"/>
      <c r="M163" s="1"/>
      <c r="N163" s="1"/>
      <c r="O163" s="1"/>
      <c r="P163" s="1"/>
      <c r="Q163" s="1"/>
      <c r="R163" s="1"/>
      <c r="S163" s="1"/>
      <c r="T163" s="1"/>
      <c r="U163" s="1"/>
      <c r="V163" s="1"/>
      <c r="W163" s="1"/>
      <c r="X163" s="1"/>
      <c r="Y163" s="1"/>
      <c r="Z163" s="1"/>
      <c r="AA163" s="1"/>
      <c r="AB163" s="1"/>
    </row>
    <row r="164" ht="14.25" customHeight="1">
      <c r="A164" s="1"/>
      <c r="B164" s="9" t="s">
        <v>1</v>
      </c>
      <c r="C164" s="9" t="s">
        <v>2</v>
      </c>
      <c r="D164" s="9" t="s">
        <v>3</v>
      </c>
      <c r="E164" s="9" t="s">
        <v>4</v>
      </c>
      <c r="F164" s="9" t="s">
        <v>5</v>
      </c>
      <c r="G164" s="9" t="s">
        <v>6</v>
      </c>
      <c r="H164" s="9" t="s">
        <v>7</v>
      </c>
      <c r="I164" s="9" t="s">
        <v>8</v>
      </c>
      <c r="J164" s="9" t="s">
        <v>9</v>
      </c>
      <c r="K164" s="1"/>
      <c r="L164" s="1"/>
      <c r="M164" s="1"/>
      <c r="N164" s="1"/>
      <c r="O164" s="1"/>
      <c r="P164" s="1"/>
      <c r="Q164" s="1"/>
      <c r="R164" s="1"/>
      <c r="S164" s="1"/>
      <c r="T164" s="1"/>
      <c r="U164" s="1"/>
      <c r="V164" s="1"/>
      <c r="W164" s="1"/>
      <c r="X164" s="1"/>
      <c r="Y164" s="1"/>
      <c r="Z164" s="1"/>
      <c r="AA164" s="1"/>
      <c r="AB164" s="1"/>
    </row>
    <row r="165" ht="14.25" customHeight="1">
      <c r="A165" s="1"/>
      <c r="B165" s="105">
        <v>1.0</v>
      </c>
      <c r="C165" s="98" t="str">
        <f t="shared" ref="C165:C168" si="211">'11. PACKING'!C228</f>
        <v>#REF!</v>
      </c>
      <c r="D165" s="98" t="str">
        <f t="shared" ref="D165:E165" si="208">'11. PACKING'!P228</f>
        <v>#REF!</v>
      </c>
      <c r="E165" s="98" t="str">
        <f t="shared" si="208"/>
        <v>#REF!</v>
      </c>
      <c r="F165" s="16" t="str">
        <f t="shared" ref="F165:G165" si="209">D165/60</f>
        <v>#REF!</v>
      </c>
      <c r="G165" s="16" t="str">
        <f t="shared" si="209"/>
        <v>#REF!</v>
      </c>
      <c r="H165" s="107" t="str">
        <f t="shared" ref="H165:J165" si="210">'11. PACKING'!R228</f>
        <v>#REF!</v>
      </c>
      <c r="I165" s="114" t="str">
        <f t="shared" si="210"/>
        <v>#REF!</v>
      </c>
      <c r="J165" s="115" t="str">
        <f t="shared" si="210"/>
        <v>#REF!</v>
      </c>
      <c r="K165" s="1"/>
      <c r="L165" s="1"/>
      <c r="M165" s="1"/>
      <c r="N165" s="1"/>
      <c r="O165" s="1"/>
      <c r="P165" s="1"/>
      <c r="Q165" s="1"/>
      <c r="R165" s="1"/>
      <c r="S165" s="1"/>
      <c r="T165" s="1"/>
      <c r="U165" s="1"/>
      <c r="V165" s="1"/>
      <c r="W165" s="1"/>
      <c r="X165" s="1"/>
      <c r="Y165" s="1"/>
      <c r="Z165" s="1"/>
      <c r="AA165" s="1"/>
      <c r="AB165" s="1"/>
    </row>
    <row r="166" ht="14.25" customHeight="1">
      <c r="A166" s="1"/>
      <c r="B166" s="32">
        <v>2.0</v>
      </c>
      <c r="C166" s="98" t="str">
        <f t="shared" si="211"/>
        <v>#REF!</v>
      </c>
      <c r="D166" s="98" t="str">
        <f t="shared" ref="D166:E166" si="212">'11. PACKING'!P229</f>
        <v>#REF!</v>
      </c>
      <c r="E166" s="98" t="str">
        <f t="shared" si="212"/>
        <v>#REF!</v>
      </c>
      <c r="F166" s="16" t="str">
        <f t="shared" ref="F166:G166" si="213">D166/60</f>
        <v>#REF!</v>
      </c>
      <c r="G166" s="16" t="str">
        <f t="shared" si="213"/>
        <v>#REF!</v>
      </c>
      <c r="H166" s="107" t="str">
        <f t="shared" ref="H166:H168" si="216">'11. PACKING'!R229</f>
        <v>#REF!</v>
      </c>
      <c r="I166" s="116"/>
      <c r="J166" s="116"/>
      <c r="K166" s="1"/>
      <c r="L166" s="1"/>
      <c r="M166" s="1"/>
      <c r="N166" s="1"/>
      <c r="O166" s="1"/>
      <c r="P166" s="1"/>
      <c r="Q166" s="1"/>
      <c r="R166" s="1"/>
      <c r="S166" s="1"/>
      <c r="T166" s="1"/>
      <c r="U166" s="1"/>
      <c r="V166" s="1"/>
      <c r="W166" s="1"/>
      <c r="X166" s="1"/>
      <c r="Y166" s="1"/>
      <c r="Z166" s="1"/>
      <c r="AA166" s="1"/>
      <c r="AB166" s="1"/>
    </row>
    <row r="167" ht="14.25" customHeight="1">
      <c r="A167" s="1"/>
      <c r="B167" s="105">
        <v>3.0</v>
      </c>
      <c r="C167" s="98" t="str">
        <f t="shared" si="211"/>
        <v>#REF!</v>
      </c>
      <c r="D167" s="83" t="str">
        <f t="shared" ref="D167:E167" si="214">'11. PACKING'!P230</f>
        <v>#REF!</v>
      </c>
      <c r="E167" s="83" t="str">
        <f t="shared" si="214"/>
        <v>#REF!</v>
      </c>
      <c r="F167" s="16" t="str">
        <f t="shared" ref="F167:G167" si="215">D167/60</f>
        <v>#REF!</v>
      </c>
      <c r="G167" s="16" t="str">
        <f t="shared" si="215"/>
        <v>#REF!</v>
      </c>
      <c r="H167" s="112" t="str">
        <f t="shared" si="216"/>
        <v>#REF!</v>
      </c>
      <c r="I167" s="116"/>
      <c r="J167" s="116"/>
      <c r="K167" s="1"/>
      <c r="L167" s="1"/>
      <c r="M167" s="1"/>
      <c r="N167" s="1"/>
      <c r="O167" s="1"/>
      <c r="P167" s="1"/>
      <c r="Q167" s="1"/>
      <c r="R167" s="1"/>
      <c r="S167" s="1"/>
      <c r="T167" s="1"/>
      <c r="U167" s="1"/>
      <c r="V167" s="1"/>
      <c r="W167" s="1"/>
      <c r="X167" s="1"/>
      <c r="Y167" s="1"/>
      <c r="Z167" s="1"/>
      <c r="AA167" s="1"/>
      <c r="AB167" s="1"/>
    </row>
    <row r="168" ht="14.25" customHeight="1">
      <c r="A168" s="1"/>
      <c r="B168" s="105">
        <v>4.0</v>
      </c>
      <c r="C168" s="98" t="str">
        <f t="shared" si="211"/>
        <v>#REF!</v>
      </c>
      <c r="D168" s="98" t="str">
        <f t="shared" ref="D168:E168" si="217">'11. PACKING'!P231</f>
        <v>#REF!</v>
      </c>
      <c r="E168" s="98" t="str">
        <f t="shared" si="217"/>
        <v>#REF!</v>
      </c>
      <c r="F168" s="16" t="str">
        <f t="shared" ref="F168:G168" si="218">D168/60</f>
        <v>#REF!</v>
      </c>
      <c r="G168" s="16" t="str">
        <f t="shared" si="218"/>
        <v>#REF!</v>
      </c>
      <c r="H168" s="107" t="str">
        <f t="shared" si="216"/>
        <v>#REF!</v>
      </c>
      <c r="I168" s="117"/>
      <c r="J168" s="117"/>
      <c r="K168" s="1"/>
      <c r="L168" s="1"/>
      <c r="M168" s="1"/>
      <c r="N168" s="1"/>
      <c r="O168" s="1"/>
      <c r="P168" s="1"/>
      <c r="Q168" s="1"/>
      <c r="R168" s="1"/>
      <c r="S168" s="1"/>
      <c r="T168" s="1"/>
      <c r="U168" s="1"/>
      <c r="V168" s="1"/>
      <c r="W168" s="1"/>
      <c r="X168" s="1"/>
      <c r="Y168" s="1"/>
      <c r="Z168" s="1"/>
      <c r="AA168" s="1"/>
      <c r="AB168" s="1"/>
    </row>
    <row r="169" ht="14.25" customHeight="1">
      <c r="A169" s="1"/>
      <c r="B169" s="94" t="s">
        <v>10</v>
      </c>
      <c r="C169" s="47"/>
      <c r="D169" s="95" t="str">
        <f t="shared" ref="D169:E169" si="219">SUM(D165:D168)</f>
        <v>#REF!</v>
      </c>
      <c r="E169" s="95" t="str">
        <f t="shared" si="219"/>
        <v>#REF!</v>
      </c>
      <c r="F169" s="22" t="str">
        <f t="shared" ref="F169:G169" si="220">D169/60</f>
        <v>#REF!</v>
      </c>
      <c r="G169" s="22" t="str">
        <f t="shared" si="220"/>
        <v>#REF!</v>
      </c>
      <c r="H169" s="96" t="str">
        <f>sum(H165:H168)</f>
        <v>#REF!</v>
      </c>
      <c r="I169" s="97"/>
      <c r="J169" s="97"/>
      <c r="K169" s="1"/>
      <c r="L169" s="1"/>
      <c r="M169" s="1"/>
      <c r="N169" s="1"/>
      <c r="O169" s="1"/>
      <c r="P169" s="1"/>
      <c r="Q169" s="1"/>
      <c r="R169" s="1"/>
      <c r="S169" s="1"/>
      <c r="T169" s="1"/>
      <c r="U169" s="1"/>
      <c r="V169" s="1"/>
      <c r="W169" s="1"/>
      <c r="X169" s="1"/>
      <c r="Y169" s="1"/>
      <c r="Z169" s="1"/>
      <c r="AA169" s="1"/>
      <c r="AB169" s="1"/>
    </row>
    <row r="170" ht="14.25" customHeight="1">
      <c r="A170" s="1"/>
      <c r="B170" s="118"/>
      <c r="C170" s="118"/>
      <c r="D170" s="119"/>
      <c r="E170" s="119"/>
      <c r="F170" s="120"/>
      <c r="G170" s="120"/>
      <c r="H170" s="121"/>
      <c r="I170" s="122"/>
      <c r="J170" s="122"/>
      <c r="K170" s="1"/>
      <c r="L170" s="1"/>
      <c r="M170" s="1"/>
      <c r="N170" s="1"/>
      <c r="O170" s="1"/>
      <c r="P170" s="1"/>
      <c r="Q170" s="1"/>
      <c r="R170" s="1"/>
      <c r="S170" s="1"/>
      <c r="T170" s="1"/>
      <c r="U170" s="1"/>
      <c r="V170" s="1"/>
      <c r="W170" s="1"/>
      <c r="X170" s="1"/>
      <c r="Y170" s="1"/>
      <c r="Z170" s="1"/>
      <c r="AA170" s="1"/>
      <c r="AB170" s="1"/>
    </row>
    <row r="171" ht="14.25" customHeight="1">
      <c r="A171" s="1"/>
      <c r="B171" s="88" t="s">
        <v>39</v>
      </c>
      <c r="C171" s="37"/>
      <c r="D171" s="37"/>
      <c r="E171" s="37"/>
      <c r="F171" s="37"/>
      <c r="G171" s="37"/>
      <c r="H171" s="37"/>
      <c r="I171" s="89"/>
      <c r="J171" s="89"/>
      <c r="K171" s="1"/>
      <c r="L171" s="1"/>
      <c r="M171" s="1"/>
      <c r="N171" s="1"/>
      <c r="O171" s="1"/>
      <c r="P171" s="1"/>
      <c r="Q171" s="1"/>
      <c r="R171" s="1"/>
      <c r="S171" s="1"/>
      <c r="T171" s="1"/>
      <c r="U171" s="1"/>
      <c r="V171" s="1"/>
      <c r="W171" s="1"/>
      <c r="X171" s="1"/>
      <c r="Y171" s="1"/>
      <c r="Z171" s="1"/>
      <c r="AA171" s="1"/>
      <c r="AB171" s="1"/>
    </row>
    <row r="172" ht="14.25" customHeight="1">
      <c r="A172" s="1"/>
      <c r="B172" s="9" t="s">
        <v>1</v>
      </c>
      <c r="C172" s="9" t="s">
        <v>2</v>
      </c>
      <c r="D172" s="9" t="s">
        <v>3</v>
      </c>
      <c r="E172" s="9" t="s">
        <v>4</v>
      </c>
      <c r="F172" s="9" t="s">
        <v>5</v>
      </c>
      <c r="G172" s="9" t="s">
        <v>6</v>
      </c>
      <c r="H172" s="9" t="s">
        <v>7</v>
      </c>
      <c r="I172" s="9" t="s">
        <v>8</v>
      </c>
      <c r="J172" s="9" t="s">
        <v>9</v>
      </c>
      <c r="K172" s="1"/>
      <c r="L172" s="1"/>
      <c r="M172" s="1"/>
      <c r="N172" s="1"/>
      <c r="O172" s="1"/>
      <c r="P172" s="1"/>
      <c r="Q172" s="1"/>
      <c r="R172" s="1"/>
      <c r="S172" s="1"/>
      <c r="T172" s="1"/>
      <c r="U172" s="1"/>
      <c r="V172" s="1"/>
      <c r="W172" s="1"/>
      <c r="X172" s="1"/>
      <c r="Y172" s="1"/>
      <c r="Z172" s="1"/>
      <c r="AA172" s="1"/>
      <c r="AB172" s="1"/>
    </row>
    <row r="173" ht="14.25" customHeight="1">
      <c r="A173" s="1"/>
      <c r="B173" s="105">
        <v>1.0</v>
      </c>
      <c r="C173" s="98" t="str">
        <f t="shared" ref="C173:C175" si="224">'11. PACKING'!C267</f>
        <v>#REF!</v>
      </c>
      <c r="D173" s="98" t="str">
        <f t="shared" ref="D173:E173" si="221">'11. PACKING'!P267</f>
        <v>#REF!</v>
      </c>
      <c r="E173" s="98" t="str">
        <f t="shared" si="221"/>
        <v>#REF!</v>
      </c>
      <c r="F173" s="16" t="str">
        <f t="shared" ref="F173:G173" si="222">D173/60</f>
        <v>#REF!</v>
      </c>
      <c r="G173" s="16" t="str">
        <f t="shared" si="222"/>
        <v>#REF!</v>
      </c>
      <c r="H173" s="107" t="str">
        <f t="shared" ref="H173:J173" si="223">'11. PACKING'!R267</f>
        <v>#REF!</v>
      </c>
      <c r="I173" s="115" t="str">
        <f t="shared" si="223"/>
        <v>#REF!</v>
      </c>
      <c r="J173" s="115" t="str">
        <f t="shared" si="223"/>
        <v>#REF!</v>
      </c>
      <c r="K173" s="1"/>
      <c r="L173" s="1"/>
      <c r="M173" s="1"/>
      <c r="N173" s="1"/>
      <c r="O173" s="1"/>
      <c r="P173" s="1"/>
      <c r="Q173" s="1"/>
      <c r="R173" s="1"/>
      <c r="S173" s="1"/>
      <c r="T173" s="1"/>
      <c r="U173" s="1"/>
      <c r="V173" s="1"/>
      <c r="W173" s="1"/>
      <c r="X173" s="1"/>
      <c r="Y173" s="1"/>
      <c r="Z173" s="1"/>
      <c r="AA173" s="1"/>
      <c r="AB173" s="1"/>
    </row>
    <row r="174" ht="14.25" customHeight="1">
      <c r="A174" s="1"/>
      <c r="B174" s="32">
        <v>2.0</v>
      </c>
      <c r="C174" s="98" t="str">
        <f t="shared" si="224"/>
        <v>#REF!</v>
      </c>
      <c r="D174" s="83" t="str">
        <f t="shared" ref="D174:E174" si="225">'11. PACKING'!P268</f>
        <v>#REF!</v>
      </c>
      <c r="E174" s="83" t="str">
        <f t="shared" si="225"/>
        <v>#REF!</v>
      </c>
      <c r="F174" s="16" t="str">
        <f t="shared" ref="F174:G174" si="226">D174/60</f>
        <v>#REF!</v>
      </c>
      <c r="G174" s="16" t="str">
        <f t="shared" si="226"/>
        <v>#REF!</v>
      </c>
      <c r="H174" s="112" t="str">
        <f t="shared" ref="H174:H175" si="229">'11. PACKING'!R268</f>
        <v>#REF!</v>
      </c>
      <c r="I174" s="116"/>
      <c r="J174" s="116"/>
      <c r="K174" s="1"/>
      <c r="L174" s="1"/>
      <c r="M174" s="1"/>
      <c r="N174" s="1"/>
      <c r="O174" s="1"/>
      <c r="P174" s="1"/>
      <c r="Q174" s="1"/>
      <c r="R174" s="1"/>
      <c r="S174" s="1"/>
      <c r="T174" s="1"/>
      <c r="U174" s="1"/>
      <c r="V174" s="1"/>
      <c r="W174" s="1"/>
      <c r="X174" s="1"/>
      <c r="Y174" s="1"/>
      <c r="Z174" s="1"/>
      <c r="AA174" s="1"/>
      <c r="AB174" s="1"/>
    </row>
    <row r="175" ht="14.25" customHeight="1">
      <c r="A175" s="1"/>
      <c r="B175" s="105">
        <v>3.0</v>
      </c>
      <c r="C175" s="98" t="str">
        <f t="shared" si="224"/>
        <v>#REF!</v>
      </c>
      <c r="D175" s="98" t="str">
        <f t="shared" ref="D175:E175" si="227">'11. PACKING'!P269</f>
        <v>#REF!</v>
      </c>
      <c r="E175" s="98" t="str">
        <f t="shared" si="227"/>
        <v>#REF!</v>
      </c>
      <c r="F175" s="16" t="str">
        <f t="shared" ref="F175:G175" si="228">D175/60</f>
        <v>#REF!</v>
      </c>
      <c r="G175" s="16" t="str">
        <f t="shared" si="228"/>
        <v>#REF!</v>
      </c>
      <c r="H175" s="107" t="str">
        <f t="shared" si="229"/>
        <v>#REF!</v>
      </c>
      <c r="I175" s="117"/>
      <c r="J175" s="117"/>
      <c r="K175" s="1"/>
      <c r="L175" s="1"/>
      <c r="M175" s="1"/>
      <c r="N175" s="1"/>
      <c r="O175" s="1"/>
      <c r="P175" s="1"/>
      <c r="Q175" s="1"/>
      <c r="R175" s="1"/>
      <c r="S175" s="1"/>
      <c r="T175" s="1"/>
      <c r="U175" s="1"/>
      <c r="V175" s="1"/>
      <c r="W175" s="1"/>
      <c r="X175" s="1"/>
      <c r="Y175" s="1"/>
      <c r="Z175" s="1"/>
      <c r="AA175" s="1"/>
      <c r="AB175" s="1"/>
    </row>
    <row r="176" ht="14.25" customHeight="1">
      <c r="A176" s="1"/>
      <c r="B176" s="94" t="s">
        <v>10</v>
      </c>
      <c r="C176" s="47"/>
      <c r="D176" s="95" t="str">
        <f t="shared" ref="D176:E176" si="230">SUM(D173:D175)</f>
        <v>#REF!</v>
      </c>
      <c r="E176" s="95" t="str">
        <f t="shared" si="230"/>
        <v>#REF!</v>
      </c>
      <c r="F176" s="22" t="str">
        <f t="shared" ref="F176:G176" si="231">D176/60</f>
        <v>#REF!</v>
      </c>
      <c r="G176" s="22" t="str">
        <f t="shared" si="231"/>
        <v>#REF!</v>
      </c>
      <c r="H176" s="96" t="str">
        <f>sum(H173:H175)</f>
        <v>#REF!</v>
      </c>
      <c r="I176" s="97"/>
      <c r="J176" s="97"/>
      <c r="K176" s="1"/>
      <c r="L176" s="1"/>
      <c r="M176" s="1"/>
      <c r="N176" s="1"/>
      <c r="O176" s="1"/>
      <c r="P176" s="1"/>
      <c r="Q176" s="1"/>
      <c r="R176" s="1"/>
      <c r="S176" s="1"/>
      <c r="T176" s="1"/>
      <c r="U176" s="1"/>
      <c r="V176" s="1"/>
      <c r="W176" s="1"/>
      <c r="X176" s="1"/>
      <c r="Y176" s="1"/>
      <c r="Z176" s="1"/>
      <c r="AA176" s="1"/>
      <c r="AB176" s="1"/>
    </row>
    <row r="177" ht="14.25" customHeight="1">
      <c r="A177" s="1"/>
      <c r="B177" s="1"/>
      <c r="C177" s="1"/>
      <c r="D177" s="2"/>
      <c r="E177" s="2"/>
      <c r="F177" s="1"/>
      <c r="G177" s="1"/>
      <c r="H177" s="3"/>
      <c r="I177" s="1"/>
      <c r="J177" s="1"/>
      <c r="K177" s="1"/>
      <c r="L177" s="1"/>
      <c r="M177" s="1"/>
      <c r="N177" s="1"/>
      <c r="O177" s="1"/>
      <c r="P177" s="1"/>
      <c r="Q177" s="1"/>
      <c r="R177" s="1"/>
      <c r="S177" s="1"/>
      <c r="T177" s="1"/>
      <c r="U177" s="1"/>
      <c r="V177" s="1"/>
      <c r="W177" s="1"/>
      <c r="X177" s="1"/>
      <c r="Y177" s="1"/>
      <c r="Z177" s="1"/>
      <c r="AA177" s="1"/>
      <c r="AB177" s="1"/>
    </row>
    <row r="178" ht="14.25" customHeight="1">
      <c r="A178" s="1"/>
      <c r="B178" s="88" t="s">
        <v>40</v>
      </c>
      <c r="C178" s="37"/>
      <c r="D178" s="37"/>
      <c r="E178" s="37"/>
      <c r="F178" s="37"/>
      <c r="G178" s="37"/>
      <c r="H178" s="37"/>
      <c r="I178" s="89"/>
      <c r="J178" s="89"/>
      <c r="K178" s="1"/>
      <c r="L178" s="1"/>
      <c r="M178" s="1"/>
      <c r="N178" s="1"/>
      <c r="O178" s="1"/>
      <c r="P178" s="1"/>
      <c r="Q178" s="1"/>
      <c r="R178" s="1"/>
      <c r="S178" s="1"/>
      <c r="T178" s="1"/>
      <c r="U178" s="1"/>
      <c r="V178" s="1"/>
      <c r="W178" s="1"/>
      <c r="X178" s="1"/>
      <c r="Y178" s="1"/>
      <c r="Z178" s="1"/>
      <c r="AA178" s="1"/>
      <c r="AB178" s="1"/>
    </row>
    <row r="179" ht="14.25" customHeight="1">
      <c r="A179" s="1"/>
      <c r="B179" s="9" t="s">
        <v>1</v>
      </c>
      <c r="C179" s="9" t="s">
        <v>2</v>
      </c>
      <c r="D179" s="9" t="s">
        <v>3</v>
      </c>
      <c r="E179" s="9" t="s">
        <v>4</v>
      </c>
      <c r="F179" s="9" t="s">
        <v>5</v>
      </c>
      <c r="G179" s="9" t="s">
        <v>6</v>
      </c>
      <c r="H179" s="40" t="s">
        <v>7</v>
      </c>
      <c r="I179" s="9" t="s">
        <v>8</v>
      </c>
      <c r="J179" s="9" t="s">
        <v>9</v>
      </c>
      <c r="K179" s="1"/>
      <c r="L179" s="1"/>
      <c r="M179" s="1"/>
      <c r="N179" s="1"/>
      <c r="O179" s="1"/>
      <c r="P179" s="1"/>
      <c r="Q179" s="1"/>
      <c r="R179" s="1"/>
      <c r="S179" s="1"/>
      <c r="T179" s="1"/>
      <c r="U179" s="1"/>
      <c r="V179" s="1"/>
      <c r="W179" s="1"/>
      <c r="X179" s="1"/>
      <c r="Y179" s="1"/>
      <c r="Z179" s="1"/>
      <c r="AA179" s="1"/>
      <c r="AB179" s="1"/>
    </row>
    <row r="180" ht="14.25" customHeight="1">
      <c r="A180" s="1"/>
      <c r="B180" s="32">
        <v>1.0</v>
      </c>
      <c r="C180" s="98" t="str">
        <f>'11. PACKING'!C304</f>
        <v>#REF!</v>
      </c>
      <c r="D180" s="83" t="str">
        <f t="shared" ref="D180:E180" si="232">'11. PACKING'!P304</f>
        <v>#REF!</v>
      </c>
      <c r="E180" s="83" t="str">
        <f t="shared" si="232"/>
        <v>#REF!</v>
      </c>
      <c r="F180" s="16" t="str">
        <f t="shared" ref="F180:G180" si="233">D180/60</f>
        <v>#REF!</v>
      </c>
      <c r="G180" s="16" t="str">
        <f t="shared" si="233"/>
        <v>#REF!</v>
      </c>
      <c r="H180" s="93" t="str">
        <f t="shared" ref="H180:J180" si="234">'11. PACKING'!R304</f>
        <v>#REF!</v>
      </c>
      <c r="I180" s="123" t="str">
        <f t="shared" si="234"/>
        <v>#REF!</v>
      </c>
      <c r="J180" s="123" t="str">
        <f t="shared" si="234"/>
        <v>#REF!</v>
      </c>
      <c r="K180" s="1"/>
      <c r="L180" s="1"/>
      <c r="M180" s="1"/>
      <c r="N180" s="1"/>
      <c r="O180" s="1"/>
      <c r="P180" s="1"/>
      <c r="Q180" s="1"/>
      <c r="R180" s="1"/>
      <c r="S180" s="1"/>
      <c r="T180" s="1"/>
      <c r="U180" s="1"/>
      <c r="V180" s="1"/>
      <c r="W180" s="1"/>
      <c r="X180" s="1"/>
      <c r="Y180" s="1"/>
      <c r="Z180" s="1"/>
      <c r="AA180" s="1"/>
      <c r="AB180" s="1"/>
    </row>
    <row r="181" ht="14.25" customHeight="1">
      <c r="A181" s="1"/>
      <c r="B181" s="94" t="s">
        <v>10</v>
      </c>
      <c r="C181" s="47"/>
      <c r="D181" s="95" t="str">
        <f t="shared" ref="D181:E181" si="235">SUM(D180)</f>
        <v>#REF!</v>
      </c>
      <c r="E181" s="95" t="str">
        <f t="shared" si="235"/>
        <v>#REF!</v>
      </c>
      <c r="F181" s="22" t="str">
        <f t="shared" ref="F181:G181" si="236">D181/60</f>
        <v>#REF!</v>
      </c>
      <c r="G181" s="22" t="str">
        <f t="shared" si="236"/>
        <v>#REF!</v>
      </c>
      <c r="H181" s="96" t="str">
        <f>sum(H180)</f>
        <v>#REF!</v>
      </c>
      <c r="I181" s="97"/>
      <c r="J181" s="97"/>
      <c r="K181" s="1"/>
      <c r="L181" s="1"/>
      <c r="M181" s="1"/>
      <c r="N181" s="1"/>
      <c r="O181" s="1"/>
      <c r="P181" s="1"/>
      <c r="Q181" s="1"/>
      <c r="R181" s="1"/>
      <c r="S181" s="1"/>
      <c r="T181" s="1"/>
      <c r="U181" s="1"/>
      <c r="V181" s="1"/>
      <c r="W181" s="1"/>
      <c r="X181" s="1"/>
      <c r="Y181" s="1"/>
      <c r="Z181" s="1"/>
      <c r="AA181" s="1"/>
      <c r="AB181" s="1"/>
    </row>
    <row r="182" ht="14.25" customHeight="1">
      <c r="A182" s="1"/>
      <c r="B182" s="124"/>
      <c r="C182" s="124"/>
      <c r="D182" s="124"/>
      <c r="E182" s="124"/>
      <c r="F182" s="124"/>
      <c r="G182" s="124"/>
      <c r="H182" s="124"/>
      <c r="I182" s="125"/>
      <c r="J182" s="125"/>
      <c r="K182" s="1"/>
      <c r="L182" s="1"/>
      <c r="M182" s="1"/>
      <c r="N182" s="1"/>
      <c r="O182" s="1"/>
      <c r="P182" s="1"/>
      <c r="Q182" s="1"/>
      <c r="R182" s="1"/>
      <c r="S182" s="1"/>
      <c r="T182" s="1"/>
      <c r="U182" s="1"/>
      <c r="V182" s="1"/>
      <c r="W182" s="1"/>
      <c r="X182" s="1"/>
      <c r="Y182" s="1"/>
      <c r="Z182" s="1"/>
      <c r="AA182" s="1"/>
      <c r="AB182" s="1"/>
    </row>
    <row r="183" ht="14.25" customHeight="1">
      <c r="A183" s="1"/>
      <c r="B183" s="88" t="s">
        <v>41</v>
      </c>
      <c r="C183" s="37"/>
      <c r="D183" s="37"/>
      <c r="E183" s="37"/>
      <c r="F183" s="37"/>
      <c r="G183" s="37"/>
      <c r="H183" s="37"/>
      <c r="I183" s="89"/>
      <c r="J183" s="89"/>
      <c r="K183" s="1"/>
      <c r="L183" s="1"/>
      <c r="M183" s="1"/>
      <c r="N183" s="1"/>
      <c r="O183" s="1"/>
      <c r="P183" s="1"/>
      <c r="Q183" s="1"/>
      <c r="R183" s="1"/>
      <c r="S183" s="1"/>
      <c r="T183" s="1"/>
      <c r="U183" s="1"/>
      <c r="V183" s="1"/>
      <c r="W183" s="1"/>
      <c r="X183" s="1"/>
      <c r="Y183" s="1"/>
      <c r="Z183" s="1"/>
      <c r="AA183" s="1"/>
      <c r="AB183" s="1"/>
    </row>
    <row r="184" ht="14.25" customHeight="1">
      <c r="A184" s="1"/>
      <c r="B184" s="9" t="s">
        <v>1</v>
      </c>
      <c r="C184" s="9" t="s">
        <v>2</v>
      </c>
      <c r="D184" s="9" t="s">
        <v>3</v>
      </c>
      <c r="E184" s="9" t="s">
        <v>4</v>
      </c>
      <c r="F184" s="9" t="s">
        <v>5</v>
      </c>
      <c r="G184" s="9" t="s">
        <v>6</v>
      </c>
      <c r="H184" s="9" t="s">
        <v>7</v>
      </c>
      <c r="I184" s="9" t="s">
        <v>42</v>
      </c>
      <c r="J184" s="9" t="s">
        <v>8</v>
      </c>
      <c r="K184" s="9" t="s">
        <v>9</v>
      </c>
      <c r="L184" s="1"/>
      <c r="M184" s="1"/>
      <c r="N184" s="1"/>
      <c r="O184" s="1"/>
      <c r="P184" s="1"/>
      <c r="Q184" s="1"/>
      <c r="R184" s="1"/>
      <c r="S184" s="1"/>
      <c r="T184" s="1"/>
      <c r="U184" s="1"/>
      <c r="V184" s="1"/>
      <c r="W184" s="1"/>
      <c r="X184" s="1"/>
      <c r="Y184" s="1"/>
      <c r="Z184" s="1"/>
      <c r="AA184" s="1"/>
      <c r="AB184" s="1"/>
    </row>
    <row r="185" ht="14.25" customHeight="1">
      <c r="A185" s="1"/>
      <c r="B185" s="32">
        <v>1.0</v>
      </c>
      <c r="C185" s="98" t="str">
        <f>'12. LOADSHIP'!C9</f>
        <v>#REF!</v>
      </c>
      <c r="D185" s="111" t="str">
        <f t="shared" ref="D185:E185" si="237">'12. LOADSHIP'!P9</f>
        <v>#REF!</v>
      </c>
      <c r="E185" s="111" t="str">
        <f t="shared" si="237"/>
        <v>#REF!</v>
      </c>
      <c r="F185" s="16" t="str">
        <f t="shared" ref="F185:G185" si="238">D185/60</f>
        <v>#REF!</v>
      </c>
      <c r="G185" s="16" t="str">
        <f t="shared" si="238"/>
        <v>#REF!</v>
      </c>
      <c r="H185" s="93" t="str">
        <f t="shared" ref="H185:K185" si="239">'12. LOADSHIP'!R9</f>
        <v>#REF!</v>
      </c>
      <c r="I185" s="126" t="str">
        <f t="shared" si="239"/>
        <v>#REF!</v>
      </c>
      <c r="J185" s="127" t="str">
        <f t="shared" si="239"/>
        <v>#REF!</v>
      </c>
      <c r="K185" s="127" t="str">
        <f t="shared" si="239"/>
        <v>#REF!</v>
      </c>
      <c r="L185" s="1"/>
      <c r="M185" s="1"/>
      <c r="N185" s="1"/>
      <c r="O185" s="1"/>
      <c r="P185" s="1"/>
      <c r="Q185" s="1"/>
      <c r="R185" s="1"/>
      <c r="S185" s="1"/>
      <c r="T185" s="1"/>
      <c r="U185" s="1"/>
      <c r="V185" s="1"/>
      <c r="W185" s="1"/>
      <c r="X185" s="1"/>
      <c r="Y185" s="1"/>
      <c r="Z185" s="1"/>
      <c r="AA185" s="1"/>
      <c r="AB185" s="1"/>
    </row>
    <row r="186" ht="14.25" customHeight="1">
      <c r="A186" s="1"/>
      <c r="B186" s="94" t="s">
        <v>10</v>
      </c>
      <c r="C186" s="47"/>
      <c r="D186" s="95" t="str">
        <f t="shared" ref="D186:E186" si="240">SUM(D185)</f>
        <v>#REF!</v>
      </c>
      <c r="E186" s="95" t="str">
        <f t="shared" si="240"/>
        <v>#REF!</v>
      </c>
      <c r="F186" s="22" t="str">
        <f t="shared" ref="F186:G186" si="241">D186/60</f>
        <v>#REF!</v>
      </c>
      <c r="G186" s="22" t="str">
        <f t="shared" si="241"/>
        <v>#REF!</v>
      </c>
      <c r="H186" s="96" t="str">
        <f>sum(H185)</f>
        <v>#REF!</v>
      </c>
      <c r="I186" s="97"/>
      <c r="J186" s="97"/>
      <c r="K186" s="97"/>
      <c r="L186" s="1"/>
      <c r="M186" s="1"/>
      <c r="N186" s="1"/>
      <c r="O186" s="1"/>
      <c r="P186" s="1"/>
      <c r="Q186" s="1"/>
      <c r="R186" s="1"/>
      <c r="S186" s="1"/>
      <c r="T186" s="1"/>
      <c r="U186" s="1"/>
      <c r="V186" s="1"/>
      <c r="W186" s="1"/>
      <c r="X186" s="1"/>
      <c r="Y186" s="1"/>
      <c r="Z186" s="1"/>
      <c r="AA186" s="1"/>
      <c r="AB186" s="1"/>
    </row>
    <row r="187" ht="14.25" customHeight="1">
      <c r="A187" s="1"/>
      <c r="B187" s="1"/>
      <c r="C187" s="1"/>
      <c r="D187" s="2"/>
      <c r="E187" s="2"/>
      <c r="F187" s="1"/>
      <c r="G187" s="1"/>
      <c r="H187" s="3"/>
      <c r="I187" s="1"/>
      <c r="J187" s="1"/>
      <c r="K187" s="1"/>
      <c r="L187" s="1"/>
      <c r="M187" s="1"/>
      <c r="N187" s="1"/>
      <c r="O187" s="1"/>
      <c r="P187" s="1"/>
      <c r="Q187" s="1"/>
      <c r="R187" s="1"/>
      <c r="S187" s="1"/>
      <c r="T187" s="1"/>
      <c r="U187" s="1"/>
      <c r="V187" s="1"/>
      <c r="W187" s="1"/>
      <c r="X187" s="1"/>
      <c r="Y187" s="1"/>
      <c r="Z187" s="1"/>
      <c r="AA187" s="1"/>
      <c r="AB187" s="1"/>
    </row>
    <row r="188" ht="14.25" customHeight="1">
      <c r="A188" s="1"/>
      <c r="B188" s="1"/>
      <c r="C188" s="1"/>
      <c r="D188" s="2"/>
      <c r="E188" s="2"/>
      <c r="F188" s="1"/>
      <c r="G188" s="1"/>
      <c r="H188" s="3"/>
      <c r="I188" s="1"/>
      <c r="J188" s="1"/>
      <c r="K188" s="1"/>
      <c r="L188" s="1"/>
      <c r="M188" s="1"/>
      <c r="N188" s="1"/>
      <c r="O188" s="1"/>
      <c r="P188" s="1"/>
      <c r="Q188" s="1"/>
      <c r="R188" s="1"/>
      <c r="S188" s="1"/>
      <c r="T188" s="1"/>
      <c r="U188" s="1"/>
      <c r="V188" s="1"/>
      <c r="W188" s="1"/>
      <c r="X188" s="1"/>
      <c r="Y188" s="1"/>
      <c r="Z188" s="1"/>
      <c r="AA188" s="1"/>
      <c r="AB188" s="1"/>
    </row>
    <row r="189" ht="14.25" customHeight="1">
      <c r="A189" s="35"/>
      <c r="B189" s="88" t="s">
        <v>43</v>
      </c>
      <c r="C189" s="37"/>
      <c r="D189" s="37"/>
      <c r="E189" s="37"/>
      <c r="F189" s="37"/>
      <c r="G189" s="37"/>
      <c r="H189" s="37"/>
      <c r="I189" s="89"/>
      <c r="J189" s="89"/>
      <c r="K189" s="35"/>
      <c r="L189" s="35"/>
      <c r="M189" s="35"/>
      <c r="N189" s="35"/>
      <c r="O189" s="35"/>
      <c r="P189" s="35"/>
      <c r="Q189" s="35"/>
      <c r="R189" s="35"/>
      <c r="S189" s="35"/>
      <c r="T189" s="35"/>
      <c r="U189" s="35"/>
      <c r="V189" s="35"/>
      <c r="W189" s="35"/>
      <c r="X189" s="35"/>
      <c r="Y189" s="35"/>
      <c r="Z189" s="35"/>
      <c r="AA189" s="35"/>
      <c r="AB189" s="35"/>
    </row>
    <row r="190" ht="14.25" customHeight="1">
      <c r="A190" s="39"/>
      <c r="B190" s="9" t="s">
        <v>1</v>
      </c>
      <c r="C190" s="9" t="s">
        <v>2</v>
      </c>
      <c r="D190" s="9" t="s">
        <v>3</v>
      </c>
      <c r="E190" s="9" t="s">
        <v>4</v>
      </c>
      <c r="F190" s="9" t="s">
        <v>5</v>
      </c>
      <c r="G190" s="9" t="s">
        <v>6</v>
      </c>
      <c r="H190" s="9" t="s">
        <v>7</v>
      </c>
      <c r="I190" s="9" t="s">
        <v>8</v>
      </c>
      <c r="J190" s="9" t="s">
        <v>9</v>
      </c>
      <c r="K190" s="35"/>
      <c r="L190" s="35"/>
      <c r="M190" s="35"/>
      <c r="N190" s="35"/>
      <c r="O190" s="35"/>
      <c r="P190" s="35"/>
      <c r="Q190" s="35"/>
      <c r="R190" s="35"/>
      <c r="S190" s="35"/>
      <c r="T190" s="35"/>
      <c r="U190" s="35"/>
      <c r="V190" s="35"/>
      <c r="W190" s="35"/>
      <c r="X190" s="35"/>
      <c r="Y190" s="35"/>
      <c r="Z190" s="35"/>
      <c r="AA190" s="35"/>
      <c r="AB190" s="35"/>
    </row>
    <row r="191" ht="14.25" customHeight="1">
      <c r="A191" s="39"/>
      <c r="B191" s="32">
        <v>1.0</v>
      </c>
      <c r="C191" s="128" t="str">
        <f t="shared" ref="C191:C192" si="245">'13. OUTBOUND'!C9</f>
        <v>#REF!</v>
      </c>
      <c r="D191" s="129" t="str">
        <f t="shared" ref="D191:E191" si="242">'13. OUTBOUND'!P9</f>
        <v>#REF!</v>
      </c>
      <c r="E191" s="129" t="str">
        <f t="shared" si="242"/>
        <v>#REF!</v>
      </c>
      <c r="F191" s="16" t="str">
        <f t="shared" ref="F191:G191" si="243">D191/60</f>
        <v>#REF!</v>
      </c>
      <c r="G191" s="16" t="str">
        <f t="shared" si="243"/>
        <v>#REF!</v>
      </c>
      <c r="H191" s="130" t="str">
        <f t="shared" ref="H191:J191" si="244">'13. OUTBOUND'!R9</f>
        <v>#REF!</v>
      </c>
      <c r="I191" s="131" t="str">
        <f t="shared" si="244"/>
        <v>#REF!</v>
      </c>
      <c r="J191" s="131" t="str">
        <f t="shared" si="244"/>
        <v>#REF!</v>
      </c>
      <c r="K191" s="35"/>
      <c r="L191" s="35"/>
      <c r="M191" s="35"/>
      <c r="N191" s="35"/>
      <c r="O191" s="35"/>
      <c r="P191" s="35"/>
      <c r="Q191" s="35"/>
      <c r="R191" s="35"/>
      <c r="S191" s="35"/>
      <c r="T191" s="35"/>
      <c r="U191" s="35"/>
      <c r="V191" s="35"/>
      <c r="W191" s="35"/>
      <c r="X191" s="35"/>
      <c r="Y191" s="35"/>
      <c r="Z191" s="35"/>
      <c r="AA191" s="35"/>
      <c r="AB191" s="35"/>
    </row>
    <row r="192" ht="14.25" customHeight="1">
      <c r="A192" s="39"/>
      <c r="B192" s="32">
        <v>2.0</v>
      </c>
      <c r="C192" s="128" t="str">
        <f t="shared" si="245"/>
        <v>#REF!</v>
      </c>
      <c r="D192" s="129" t="str">
        <f t="shared" ref="D192:E192" si="246">'13. OUTBOUND'!P10</f>
        <v>#REF!</v>
      </c>
      <c r="E192" s="129" t="str">
        <f t="shared" si="246"/>
        <v>#REF!</v>
      </c>
      <c r="F192" s="16" t="str">
        <f t="shared" ref="F192:G192" si="247">D192/60</f>
        <v>#REF!</v>
      </c>
      <c r="G192" s="16" t="str">
        <f t="shared" si="247"/>
        <v>#REF!</v>
      </c>
      <c r="H192" s="132" t="str">
        <f t="shared" ref="H192:J192" si="248">'13. OUTBOUND'!R10</f>
        <v>#REF!</v>
      </c>
      <c r="I192" s="133" t="str">
        <f t="shared" si="248"/>
        <v>#REF!</v>
      </c>
      <c r="J192" s="133" t="str">
        <f t="shared" si="248"/>
        <v>#REF!</v>
      </c>
      <c r="K192" s="35"/>
      <c r="L192" s="35"/>
      <c r="M192" s="35"/>
      <c r="N192" s="35"/>
      <c r="O192" s="35"/>
      <c r="P192" s="35"/>
      <c r="Q192" s="35"/>
      <c r="R192" s="35"/>
      <c r="S192" s="35"/>
      <c r="T192" s="35"/>
      <c r="U192" s="35"/>
      <c r="V192" s="35"/>
      <c r="W192" s="35"/>
      <c r="X192" s="35"/>
      <c r="Y192" s="35"/>
      <c r="Z192" s="35"/>
      <c r="AA192" s="35"/>
      <c r="AB192" s="35"/>
    </row>
    <row r="193" ht="14.25" customHeight="1">
      <c r="A193" s="39"/>
      <c r="B193" s="134" t="s">
        <v>10</v>
      </c>
      <c r="C193" s="47"/>
      <c r="D193" s="95" t="str">
        <f t="shared" ref="D193:E193" si="249">SUM(D191,D192)</f>
        <v>#REF!</v>
      </c>
      <c r="E193" s="95" t="str">
        <f t="shared" si="249"/>
        <v>#REF!</v>
      </c>
      <c r="F193" s="22" t="str">
        <f t="shared" ref="F193:G193" si="250">D193/60</f>
        <v>#REF!</v>
      </c>
      <c r="G193" s="22" t="str">
        <f t="shared" si="250"/>
        <v>#REF!</v>
      </c>
      <c r="H193" s="96" t="str">
        <f>sum(H191:H192)</f>
        <v>#REF!</v>
      </c>
      <c r="I193" s="133"/>
      <c r="J193" s="133"/>
      <c r="K193" s="35"/>
      <c r="L193" s="35"/>
      <c r="M193" s="35"/>
      <c r="N193" s="35"/>
      <c r="O193" s="35"/>
      <c r="P193" s="35"/>
      <c r="Q193" s="35"/>
      <c r="R193" s="35"/>
      <c r="S193" s="35"/>
      <c r="T193" s="35"/>
      <c r="U193" s="35"/>
      <c r="V193" s="35"/>
      <c r="W193" s="35"/>
      <c r="X193" s="35"/>
      <c r="Y193" s="35"/>
      <c r="Z193" s="35"/>
      <c r="AA193" s="35"/>
      <c r="AB193" s="35"/>
    </row>
    <row r="194" ht="14.25" customHeight="1">
      <c r="A194" s="1"/>
      <c r="B194" s="124"/>
      <c r="C194" s="124"/>
      <c r="D194" s="124"/>
      <c r="E194" s="124"/>
      <c r="F194" s="124"/>
      <c r="G194" s="124"/>
      <c r="H194" s="135"/>
      <c r="I194" s="125"/>
      <c r="J194" s="125"/>
      <c r="K194" s="1"/>
      <c r="L194" s="1"/>
      <c r="M194" s="1"/>
      <c r="N194" s="1"/>
      <c r="O194" s="1"/>
      <c r="P194" s="1"/>
      <c r="Q194" s="1"/>
      <c r="R194" s="1"/>
      <c r="S194" s="1"/>
      <c r="T194" s="1"/>
      <c r="U194" s="1"/>
      <c r="V194" s="1"/>
      <c r="W194" s="1"/>
      <c r="X194" s="1"/>
      <c r="Y194" s="1"/>
      <c r="Z194" s="1"/>
      <c r="AA194" s="1"/>
      <c r="AB194" s="1"/>
    </row>
    <row r="195" ht="14.25" customHeight="1">
      <c r="A195" s="1"/>
      <c r="B195" s="88" t="s">
        <v>44</v>
      </c>
      <c r="C195" s="37"/>
      <c r="D195" s="37"/>
      <c r="E195" s="37"/>
      <c r="F195" s="37"/>
      <c r="G195" s="37"/>
      <c r="H195" s="37"/>
      <c r="I195" s="89"/>
      <c r="J195" s="89"/>
      <c r="K195" s="1"/>
      <c r="L195" s="1"/>
      <c r="M195" s="1"/>
      <c r="N195" s="1"/>
      <c r="O195" s="1"/>
      <c r="P195" s="1"/>
      <c r="Q195" s="1"/>
      <c r="R195" s="1"/>
      <c r="S195" s="1"/>
      <c r="T195" s="1"/>
      <c r="U195" s="1"/>
      <c r="V195" s="1"/>
      <c r="W195" s="1"/>
      <c r="X195" s="1"/>
      <c r="Y195" s="1"/>
      <c r="Z195" s="1"/>
      <c r="AA195" s="1"/>
      <c r="AB195" s="1"/>
    </row>
    <row r="196" ht="14.25" customHeight="1">
      <c r="A196" s="1"/>
      <c r="B196" s="9" t="s">
        <v>1</v>
      </c>
      <c r="C196" s="9" t="s">
        <v>2</v>
      </c>
      <c r="D196" s="9" t="s">
        <v>3</v>
      </c>
      <c r="E196" s="9" t="s">
        <v>4</v>
      </c>
      <c r="F196" s="9" t="s">
        <v>5</v>
      </c>
      <c r="G196" s="9" t="s">
        <v>6</v>
      </c>
      <c r="H196" s="9" t="s">
        <v>7</v>
      </c>
      <c r="I196" s="9" t="s">
        <v>8</v>
      </c>
      <c r="J196" s="9" t="s">
        <v>9</v>
      </c>
      <c r="K196" s="1"/>
      <c r="L196" s="1"/>
      <c r="M196" s="1"/>
      <c r="N196" s="1"/>
      <c r="O196" s="1"/>
      <c r="P196" s="1"/>
      <c r="Q196" s="1"/>
      <c r="R196" s="1"/>
      <c r="S196" s="1"/>
      <c r="T196" s="1"/>
      <c r="U196" s="1"/>
      <c r="V196" s="1"/>
      <c r="W196" s="1"/>
      <c r="X196" s="1"/>
      <c r="Y196" s="1"/>
      <c r="Z196" s="1"/>
      <c r="AA196" s="1"/>
      <c r="AB196" s="1"/>
    </row>
    <row r="197" ht="14.25" customHeight="1">
      <c r="A197" s="1"/>
      <c r="B197" s="32">
        <v>1.0</v>
      </c>
      <c r="C197" s="98" t="str">
        <f t="shared" ref="C197:C200" si="253">'14. RETURNS'!C47</f>
        <v>#REF!</v>
      </c>
      <c r="D197" s="111" t="str">
        <f t="shared" ref="D197:E197" si="251">'14. RETURNS'!P47</f>
        <v>#REF!</v>
      </c>
      <c r="E197" s="111" t="str">
        <f t="shared" si="251"/>
        <v>#REF!</v>
      </c>
      <c r="F197" s="16" t="str">
        <f t="shared" ref="F197:G197" si="252">D197/60</f>
        <v>#REF!</v>
      </c>
      <c r="G197" s="76" t="str">
        <f t="shared" si="252"/>
        <v>#REF!</v>
      </c>
      <c r="H197" s="93" t="str">
        <f t="shared" ref="H197:H200" si="256">'14. RETURNS'!R47</f>
        <v>#REF!</v>
      </c>
      <c r="I197" s="103" t="str">
        <f>'3. RELEASING OF WAVE ORDERS'!S147</f>
        <v>#REF!</v>
      </c>
      <c r="J197" s="103" t="str">
        <f>'3. RELEASING OF WAVE ORDERS'!T125</f>
        <v>#REF!</v>
      </c>
      <c r="K197" s="1"/>
      <c r="L197" s="1"/>
      <c r="M197" s="1"/>
      <c r="N197" s="1"/>
      <c r="O197" s="1"/>
      <c r="P197" s="1"/>
      <c r="Q197" s="1"/>
      <c r="R197" s="1"/>
      <c r="S197" s="1"/>
      <c r="T197" s="1"/>
      <c r="U197" s="1"/>
      <c r="V197" s="1"/>
      <c r="W197" s="1"/>
      <c r="X197" s="1"/>
      <c r="Y197" s="1"/>
      <c r="Z197" s="1"/>
      <c r="AA197" s="1"/>
      <c r="AB197" s="1"/>
    </row>
    <row r="198" ht="14.25" customHeight="1">
      <c r="A198" s="1"/>
      <c r="B198" s="32">
        <v>2.0</v>
      </c>
      <c r="C198" s="98" t="str">
        <f t="shared" si="253"/>
        <v>#REF!</v>
      </c>
      <c r="D198" s="111" t="str">
        <f t="shared" ref="D198:E198" si="254">'14. RETURNS'!P48</f>
        <v>#REF!</v>
      </c>
      <c r="E198" s="111" t="str">
        <f t="shared" si="254"/>
        <v>#REF!</v>
      </c>
      <c r="F198" s="16" t="str">
        <f t="shared" ref="F198:G198" si="255">D198/60</f>
        <v>#REF!</v>
      </c>
      <c r="G198" s="76" t="str">
        <f t="shared" si="255"/>
        <v>#REF!</v>
      </c>
      <c r="H198" s="90" t="str">
        <f t="shared" si="256"/>
        <v>#REF!</v>
      </c>
      <c r="I198" s="103"/>
      <c r="J198" s="103"/>
      <c r="K198" s="1"/>
      <c r="L198" s="1"/>
      <c r="M198" s="1"/>
      <c r="N198" s="1"/>
      <c r="O198" s="1"/>
      <c r="P198" s="1"/>
      <c r="Q198" s="1"/>
      <c r="R198" s="1"/>
      <c r="S198" s="1"/>
      <c r="T198" s="1"/>
      <c r="U198" s="1"/>
      <c r="V198" s="1"/>
      <c r="W198" s="1"/>
      <c r="X198" s="1"/>
      <c r="Y198" s="1"/>
      <c r="Z198" s="1"/>
      <c r="AA198" s="1"/>
      <c r="AB198" s="1"/>
    </row>
    <row r="199" ht="14.25" customHeight="1">
      <c r="A199" s="1"/>
      <c r="B199" s="32">
        <v>3.0</v>
      </c>
      <c r="C199" s="98" t="str">
        <f t="shared" si="253"/>
        <v>#REF!</v>
      </c>
      <c r="D199" s="111" t="str">
        <f t="shared" ref="D199:E199" si="257">'14. RETURNS'!P49</f>
        <v>#REF!</v>
      </c>
      <c r="E199" s="111" t="str">
        <f t="shared" si="257"/>
        <v>#REF!</v>
      </c>
      <c r="F199" s="16" t="str">
        <f t="shared" ref="F199:G199" si="258">D199/60</f>
        <v>#REF!</v>
      </c>
      <c r="G199" s="76" t="str">
        <f t="shared" si="258"/>
        <v>#REF!</v>
      </c>
      <c r="H199" s="90" t="str">
        <f t="shared" si="256"/>
        <v>#REF!</v>
      </c>
      <c r="I199" s="103"/>
      <c r="J199" s="103"/>
      <c r="K199" s="1"/>
      <c r="L199" s="1"/>
      <c r="M199" s="1"/>
      <c r="N199" s="1"/>
      <c r="O199" s="1"/>
      <c r="P199" s="1"/>
      <c r="Q199" s="1"/>
      <c r="R199" s="1"/>
      <c r="S199" s="1"/>
      <c r="T199" s="1"/>
      <c r="U199" s="1"/>
      <c r="V199" s="1"/>
      <c r="W199" s="1"/>
      <c r="X199" s="1"/>
      <c r="Y199" s="1"/>
      <c r="Z199" s="1"/>
      <c r="AA199" s="1"/>
      <c r="AB199" s="1"/>
    </row>
    <row r="200" ht="14.25" customHeight="1">
      <c r="A200" s="1"/>
      <c r="B200" s="32">
        <v>4.0</v>
      </c>
      <c r="C200" s="98" t="str">
        <f t="shared" si="253"/>
        <v>#REF!</v>
      </c>
      <c r="D200" s="111" t="str">
        <f t="shared" ref="D200:E200" si="259">'14. RETURNS'!P50</f>
        <v>#REF!</v>
      </c>
      <c r="E200" s="111" t="str">
        <f t="shared" si="259"/>
        <v>#REF!</v>
      </c>
      <c r="F200" s="16" t="str">
        <f t="shared" ref="F200:G200" si="260">D200/60</f>
        <v>#REF!</v>
      </c>
      <c r="G200" s="76" t="str">
        <f t="shared" si="260"/>
        <v>#REF!</v>
      </c>
      <c r="H200" s="90" t="str">
        <f t="shared" si="256"/>
        <v>#REF!</v>
      </c>
      <c r="I200" s="103"/>
      <c r="J200" s="103"/>
      <c r="K200" s="1"/>
      <c r="L200" s="1"/>
      <c r="M200" s="1"/>
      <c r="N200" s="1"/>
      <c r="O200" s="1"/>
      <c r="P200" s="1"/>
      <c r="Q200" s="1"/>
      <c r="R200" s="1"/>
      <c r="S200" s="1"/>
      <c r="T200" s="1"/>
      <c r="U200" s="1"/>
      <c r="V200" s="1"/>
      <c r="W200" s="1"/>
      <c r="X200" s="1"/>
      <c r="Y200" s="1"/>
      <c r="Z200" s="1"/>
      <c r="AA200" s="1"/>
      <c r="AB200" s="1"/>
    </row>
    <row r="201" ht="14.25" customHeight="1">
      <c r="A201" s="1"/>
      <c r="B201" s="94" t="s">
        <v>10</v>
      </c>
      <c r="C201" s="47"/>
      <c r="D201" s="95" t="str">
        <f t="shared" ref="D201:E201" si="261">SUM(D197:D200)</f>
        <v>#REF!</v>
      </c>
      <c r="E201" s="95" t="str">
        <f t="shared" si="261"/>
        <v>#REF!</v>
      </c>
      <c r="F201" s="22" t="str">
        <f t="shared" ref="F201:G201" si="262">D201/60</f>
        <v>#REF!</v>
      </c>
      <c r="G201" s="22" t="str">
        <f t="shared" si="262"/>
        <v>#REF!</v>
      </c>
      <c r="H201" s="96" t="str">
        <f>sum(H197:H200)</f>
        <v>#REF!</v>
      </c>
      <c r="I201" s="97"/>
      <c r="J201" s="97"/>
      <c r="K201" s="1"/>
      <c r="L201" s="1"/>
      <c r="M201" s="1"/>
      <c r="N201" s="1"/>
      <c r="O201" s="1"/>
      <c r="P201" s="1"/>
      <c r="Q201" s="1"/>
      <c r="R201" s="1"/>
      <c r="S201" s="1"/>
      <c r="T201" s="1"/>
      <c r="U201" s="1"/>
      <c r="V201" s="1"/>
      <c r="W201" s="1"/>
      <c r="X201" s="1"/>
      <c r="Y201" s="1"/>
      <c r="Z201" s="1"/>
      <c r="AA201" s="1"/>
      <c r="AB201" s="1"/>
    </row>
    <row r="202" ht="14.25" customHeight="1">
      <c r="A202" s="1"/>
      <c r="B202" s="1"/>
      <c r="C202" s="1"/>
      <c r="D202" s="2"/>
      <c r="E202" s="2"/>
      <c r="F202" s="1"/>
      <c r="G202" s="1"/>
      <c r="H202" s="3"/>
      <c r="I202" s="1"/>
      <c r="J202" s="1"/>
      <c r="K202" s="1"/>
      <c r="L202" s="1"/>
      <c r="M202" s="1"/>
      <c r="N202" s="1"/>
      <c r="O202" s="1"/>
      <c r="P202" s="1"/>
      <c r="Q202" s="1"/>
      <c r="R202" s="1"/>
      <c r="S202" s="1"/>
      <c r="T202" s="1"/>
      <c r="U202" s="1"/>
      <c r="V202" s="1"/>
      <c r="W202" s="1"/>
      <c r="X202" s="1"/>
      <c r="Y202" s="1"/>
      <c r="Z202" s="1"/>
      <c r="AA202" s="1"/>
      <c r="AB202" s="1"/>
    </row>
    <row r="203" ht="14.25" customHeight="1">
      <c r="A203" s="1"/>
      <c r="B203" s="88" t="s">
        <v>45</v>
      </c>
      <c r="C203" s="37"/>
      <c r="D203" s="37"/>
      <c r="E203" s="37"/>
      <c r="F203" s="37"/>
      <c r="G203" s="37"/>
      <c r="H203" s="37"/>
      <c r="I203" s="89"/>
      <c r="J203" s="89"/>
      <c r="K203" s="1"/>
      <c r="L203" s="1"/>
      <c r="M203" s="1"/>
      <c r="N203" s="1"/>
      <c r="O203" s="1"/>
      <c r="P203" s="1"/>
      <c r="Q203" s="1"/>
      <c r="R203" s="1"/>
      <c r="S203" s="1"/>
      <c r="T203" s="1"/>
      <c r="U203" s="1"/>
      <c r="V203" s="1"/>
      <c r="W203" s="1"/>
      <c r="X203" s="1"/>
      <c r="Y203" s="1"/>
      <c r="Z203" s="1"/>
      <c r="AA203" s="1"/>
      <c r="AB203" s="1"/>
    </row>
    <row r="204" ht="14.25" customHeight="1">
      <c r="A204" s="1"/>
      <c r="B204" s="9" t="s">
        <v>1</v>
      </c>
      <c r="C204" s="9" t="s">
        <v>2</v>
      </c>
      <c r="D204" s="9" t="s">
        <v>3</v>
      </c>
      <c r="E204" s="9" t="s">
        <v>4</v>
      </c>
      <c r="F204" s="9" t="s">
        <v>5</v>
      </c>
      <c r="G204" s="9" t="s">
        <v>6</v>
      </c>
      <c r="H204" s="9" t="s">
        <v>7</v>
      </c>
      <c r="I204" s="9" t="s">
        <v>8</v>
      </c>
      <c r="J204" s="9" t="s">
        <v>9</v>
      </c>
      <c r="K204" s="1"/>
      <c r="L204" s="1"/>
      <c r="M204" s="1"/>
      <c r="N204" s="1"/>
      <c r="O204" s="1"/>
      <c r="P204" s="1"/>
      <c r="Q204" s="1"/>
      <c r="R204" s="1"/>
      <c r="S204" s="1"/>
      <c r="T204" s="1"/>
      <c r="U204" s="1"/>
      <c r="V204" s="1"/>
      <c r="W204" s="1"/>
      <c r="X204" s="1"/>
      <c r="Y204" s="1"/>
      <c r="Z204" s="1"/>
      <c r="AA204" s="1"/>
      <c r="AB204" s="1"/>
    </row>
    <row r="205" ht="14.25" customHeight="1">
      <c r="A205" s="12"/>
      <c r="B205" s="32">
        <v>1.0</v>
      </c>
      <c r="C205" s="83" t="str">
        <f t="shared" ref="C205:C206" si="266">'14. RETURNS'!C9</f>
        <v>#REF!</v>
      </c>
      <c r="D205" s="111" t="str">
        <f t="shared" ref="D205:E205" si="263">'14. RETURNS'!P9</f>
        <v>#REF!</v>
      </c>
      <c r="E205" s="111" t="str">
        <f t="shared" si="263"/>
        <v>#REF!</v>
      </c>
      <c r="F205" s="16" t="str">
        <f t="shared" ref="F205:G205" si="264">D205/60</f>
        <v>#REF!</v>
      </c>
      <c r="G205" s="76" t="str">
        <f t="shared" si="264"/>
        <v>#REF!</v>
      </c>
      <c r="H205" s="136" t="str">
        <f t="shared" ref="H205:J205" si="265">'14. RETURNS'!R9</f>
        <v>#REF!</v>
      </c>
      <c r="I205" s="41" t="str">
        <f t="shared" si="265"/>
        <v>#REF!</v>
      </c>
      <c r="J205" s="41" t="str">
        <f t="shared" si="265"/>
        <v>#REF!</v>
      </c>
      <c r="K205" s="12"/>
      <c r="L205" s="12"/>
      <c r="M205" s="12"/>
      <c r="N205" s="12"/>
      <c r="O205" s="12"/>
      <c r="P205" s="12"/>
      <c r="Q205" s="12"/>
      <c r="R205" s="12"/>
      <c r="S205" s="12"/>
      <c r="T205" s="12"/>
      <c r="U205" s="12"/>
      <c r="V205" s="12"/>
      <c r="W205" s="12"/>
      <c r="X205" s="12"/>
      <c r="Y205" s="12"/>
      <c r="Z205" s="12"/>
      <c r="AA205" s="12"/>
      <c r="AB205" s="12"/>
    </row>
    <row r="206" ht="14.25" customHeight="1">
      <c r="A206" s="12"/>
      <c r="B206" s="32">
        <v>2.0</v>
      </c>
      <c r="C206" s="83" t="str">
        <f t="shared" si="266"/>
        <v>#REF!</v>
      </c>
      <c r="D206" s="111" t="str">
        <f t="shared" ref="D206:E206" si="267">'14. RETURNS'!P10</f>
        <v>#REF!</v>
      </c>
      <c r="E206" s="111" t="str">
        <f t="shared" si="267"/>
        <v>#REF!</v>
      </c>
      <c r="F206" s="16" t="str">
        <f t="shared" ref="F206:G206" si="268">D206/60</f>
        <v>#REF!</v>
      </c>
      <c r="G206" s="76" t="str">
        <f t="shared" si="268"/>
        <v>#REF!</v>
      </c>
      <c r="H206" s="137" t="str">
        <f>'14. RETURNS'!R10</f>
        <v>#REF!</v>
      </c>
      <c r="I206" s="138"/>
      <c r="J206" s="139"/>
      <c r="K206" s="12"/>
      <c r="L206" s="12"/>
      <c r="M206" s="12"/>
      <c r="N206" s="12"/>
      <c r="O206" s="12"/>
      <c r="P206" s="12"/>
      <c r="Q206" s="12"/>
      <c r="R206" s="12"/>
      <c r="S206" s="12"/>
      <c r="T206" s="12"/>
      <c r="U206" s="12"/>
      <c r="V206" s="12"/>
      <c r="W206" s="12"/>
      <c r="X206" s="12"/>
      <c r="Y206" s="12"/>
      <c r="Z206" s="12"/>
      <c r="AA206" s="12"/>
      <c r="AB206" s="12"/>
    </row>
    <row r="207" ht="14.25" customHeight="1">
      <c r="A207" s="1"/>
      <c r="B207" s="94" t="s">
        <v>10</v>
      </c>
      <c r="C207" s="47"/>
      <c r="D207" s="95" t="str">
        <f t="shared" ref="D207:E207" si="269">SUM(D205)</f>
        <v>#REF!</v>
      </c>
      <c r="E207" s="95" t="str">
        <f t="shared" si="269"/>
        <v>#REF!</v>
      </c>
      <c r="F207" s="22" t="str">
        <f t="shared" ref="F207:G207" si="270">D207/60</f>
        <v>#REF!</v>
      </c>
      <c r="G207" s="140" t="str">
        <f t="shared" si="270"/>
        <v>#REF!</v>
      </c>
      <c r="H207" s="141">
        <v>1.0</v>
      </c>
      <c r="I207" s="142"/>
      <c r="J207" s="143"/>
      <c r="K207" s="1"/>
      <c r="L207" s="1"/>
      <c r="M207" s="1"/>
      <c r="N207" s="1"/>
      <c r="O207" s="1"/>
      <c r="P207" s="1"/>
      <c r="Q207" s="1"/>
      <c r="R207" s="1"/>
      <c r="S207" s="1"/>
      <c r="T207" s="1"/>
      <c r="U207" s="1"/>
      <c r="V207" s="1"/>
      <c r="W207" s="1"/>
      <c r="X207" s="1"/>
      <c r="Y207" s="1"/>
      <c r="Z207" s="1"/>
      <c r="AA207" s="1"/>
      <c r="AB207" s="1"/>
    </row>
    <row r="208" ht="14.25" customHeight="1">
      <c r="A208" s="1"/>
      <c r="B208" s="1"/>
      <c r="C208" s="1"/>
      <c r="D208" s="2"/>
      <c r="E208" s="2"/>
      <c r="F208" s="1"/>
      <c r="G208" s="1"/>
      <c r="H208" s="3"/>
      <c r="I208" s="1"/>
      <c r="J208" s="1"/>
      <c r="K208" s="1"/>
      <c r="L208" s="1"/>
      <c r="M208" s="1"/>
      <c r="N208" s="1"/>
      <c r="O208" s="1"/>
      <c r="P208" s="1"/>
      <c r="Q208" s="1"/>
      <c r="R208" s="1"/>
      <c r="S208" s="1"/>
      <c r="T208" s="1"/>
      <c r="U208" s="1"/>
      <c r="V208" s="1"/>
      <c r="W208" s="1"/>
      <c r="X208" s="1"/>
      <c r="Y208" s="1"/>
      <c r="Z208" s="1"/>
      <c r="AA208" s="1"/>
      <c r="AB208" s="1"/>
    </row>
    <row r="209" ht="14.25" hidden="1" customHeight="1">
      <c r="A209" s="1"/>
      <c r="B209" s="88" t="s">
        <v>46</v>
      </c>
      <c r="C209" s="37"/>
      <c r="D209" s="37"/>
      <c r="E209" s="37"/>
      <c r="F209" s="37"/>
      <c r="G209" s="37"/>
      <c r="H209" s="37"/>
      <c r="I209" s="89"/>
      <c r="J209" s="89"/>
      <c r="K209" s="1"/>
      <c r="L209" s="1"/>
      <c r="M209" s="1"/>
      <c r="N209" s="1"/>
      <c r="O209" s="1"/>
      <c r="P209" s="1"/>
      <c r="Q209" s="1"/>
      <c r="R209" s="1"/>
      <c r="S209" s="1"/>
      <c r="T209" s="1"/>
      <c r="U209" s="1"/>
      <c r="V209" s="1"/>
      <c r="W209" s="1"/>
      <c r="X209" s="1"/>
      <c r="Y209" s="1"/>
      <c r="Z209" s="1"/>
      <c r="AA209" s="1"/>
      <c r="AB209" s="1"/>
    </row>
    <row r="210" ht="14.25" hidden="1" customHeight="1">
      <c r="A210" s="1"/>
      <c r="B210" s="9" t="s">
        <v>1</v>
      </c>
      <c r="C210" s="9" t="s">
        <v>2</v>
      </c>
      <c r="D210" s="9" t="s">
        <v>3</v>
      </c>
      <c r="E210" s="9" t="s">
        <v>4</v>
      </c>
      <c r="F210" s="9" t="s">
        <v>5</v>
      </c>
      <c r="G210" s="9" t="s">
        <v>6</v>
      </c>
      <c r="H210" s="9" t="s">
        <v>7</v>
      </c>
      <c r="I210" s="9" t="s">
        <v>8</v>
      </c>
      <c r="J210" s="9" t="s">
        <v>9</v>
      </c>
      <c r="K210" s="1"/>
      <c r="L210" s="1"/>
      <c r="M210" s="1"/>
      <c r="N210" s="1"/>
      <c r="O210" s="1"/>
      <c r="P210" s="1"/>
      <c r="Q210" s="1"/>
      <c r="R210" s="1"/>
      <c r="S210" s="1"/>
      <c r="T210" s="1"/>
      <c r="U210" s="1"/>
      <c r="V210" s="1"/>
      <c r="W210" s="1"/>
      <c r="X210" s="1"/>
      <c r="Y210" s="1"/>
      <c r="Z210" s="1"/>
      <c r="AA210" s="1"/>
      <c r="AB210" s="1"/>
    </row>
    <row r="211" ht="14.25" hidden="1" customHeight="1">
      <c r="A211" s="1"/>
      <c r="B211" s="105">
        <v>1.0</v>
      </c>
      <c r="C211" s="98" t="str">
        <f>' 15. CANCEL..'!C9</f>
        <v>#REF!</v>
      </c>
      <c r="D211" s="106" t="str">
        <f t="shared" ref="D211:E211" si="271">' 15. CANCEL..'!P9</f>
        <v>#REF!</v>
      </c>
      <c r="E211" s="106" t="str">
        <f t="shared" si="271"/>
        <v>#REF!</v>
      </c>
      <c r="F211" s="106"/>
      <c r="G211" s="106"/>
      <c r="H211" s="144" t="str">
        <f>' 15. CANCEL..'!R9</f>
        <v>#REF!</v>
      </c>
      <c r="I211" s="145" t="str">
        <f t="shared" ref="I211:J211" si="272">'14. RETURNS'!S15</f>
        <v>#REF!</v>
      </c>
      <c r="J211" s="145" t="str">
        <f t="shared" si="272"/>
        <v>#REF!</v>
      </c>
      <c r="K211" s="1"/>
      <c r="L211" s="1"/>
      <c r="M211" s="1"/>
      <c r="N211" s="1"/>
      <c r="O211" s="1"/>
      <c r="P211" s="1"/>
      <c r="Q211" s="1"/>
      <c r="R211" s="1"/>
      <c r="S211" s="1"/>
      <c r="T211" s="1"/>
      <c r="U211" s="1"/>
      <c r="V211" s="1"/>
      <c r="W211" s="1"/>
      <c r="X211" s="1"/>
      <c r="Y211" s="1"/>
      <c r="Z211" s="1"/>
      <c r="AA211" s="1"/>
      <c r="AB211" s="1"/>
    </row>
    <row r="212" ht="14.25" hidden="1" customHeight="1">
      <c r="A212" s="1"/>
      <c r="B212" s="94" t="s">
        <v>10</v>
      </c>
      <c r="C212" s="47"/>
      <c r="D212" s="95" t="str">
        <f t="shared" ref="D212:E212" si="273">SUM(D211)</f>
        <v>#REF!</v>
      </c>
      <c r="E212" s="95" t="str">
        <f t="shared" si="273"/>
        <v>#REF!</v>
      </c>
      <c r="F212" s="146"/>
      <c r="G212" s="146"/>
      <c r="H212" s="141">
        <v>1.0</v>
      </c>
      <c r="I212" s="97"/>
      <c r="J212" s="97"/>
      <c r="K212" s="1"/>
      <c r="L212" s="1"/>
      <c r="M212" s="1"/>
      <c r="N212" s="1"/>
      <c r="O212" s="1"/>
      <c r="P212" s="1"/>
      <c r="Q212" s="1"/>
      <c r="R212" s="1"/>
      <c r="S212" s="1"/>
      <c r="T212" s="1"/>
      <c r="U212" s="1"/>
      <c r="V212" s="1"/>
      <c r="W212" s="1"/>
      <c r="X212" s="1"/>
      <c r="Y212" s="1"/>
      <c r="Z212" s="1"/>
      <c r="AA212" s="1"/>
      <c r="AB212" s="1"/>
    </row>
    <row r="213" ht="14.25" hidden="1" customHeight="1">
      <c r="A213" s="1"/>
      <c r="B213" s="1"/>
      <c r="C213" s="1"/>
      <c r="D213" s="2"/>
      <c r="E213" s="2"/>
      <c r="F213" s="1"/>
      <c r="G213" s="1"/>
      <c r="H213" s="3"/>
      <c r="I213" s="1"/>
      <c r="J213" s="1"/>
      <c r="K213" s="1"/>
      <c r="L213" s="1"/>
      <c r="M213" s="1"/>
      <c r="N213" s="1"/>
      <c r="O213" s="1"/>
      <c r="P213" s="1"/>
      <c r="Q213" s="1"/>
      <c r="R213" s="1"/>
      <c r="S213" s="1"/>
      <c r="T213" s="1"/>
      <c r="U213" s="1"/>
      <c r="V213" s="1"/>
      <c r="W213" s="1"/>
      <c r="X213" s="1"/>
      <c r="Y213" s="1"/>
      <c r="Z213" s="1"/>
      <c r="AA213" s="1"/>
      <c r="AB213" s="1"/>
    </row>
    <row r="214" ht="14.25" customHeight="1">
      <c r="A214" s="1"/>
      <c r="B214" s="88" t="s">
        <v>47</v>
      </c>
      <c r="C214" s="37"/>
      <c r="D214" s="37"/>
      <c r="E214" s="37"/>
      <c r="F214" s="37"/>
      <c r="G214" s="37"/>
      <c r="H214" s="37"/>
      <c r="I214" s="89"/>
      <c r="J214" s="89"/>
      <c r="K214" s="1"/>
      <c r="L214" s="1"/>
      <c r="M214" s="1"/>
      <c r="N214" s="1"/>
      <c r="O214" s="1"/>
      <c r="P214" s="1"/>
      <c r="Q214" s="1"/>
      <c r="R214" s="1"/>
      <c r="S214" s="1"/>
      <c r="T214" s="1"/>
      <c r="U214" s="1"/>
      <c r="V214" s="1"/>
      <c r="W214" s="1"/>
      <c r="X214" s="1"/>
      <c r="Y214" s="1"/>
      <c r="Z214" s="1"/>
      <c r="AA214" s="1"/>
      <c r="AB214" s="1"/>
    </row>
    <row r="215" ht="14.25" customHeight="1">
      <c r="A215" s="1"/>
      <c r="B215" s="9" t="s">
        <v>1</v>
      </c>
      <c r="C215" s="9" t="s">
        <v>2</v>
      </c>
      <c r="D215" s="9" t="s">
        <v>3</v>
      </c>
      <c r="E215" s="9" t="s">
        <v>4</v>
      </c>
      <c r="F215" s="9" t="s">
        <v>5</v>
      </c>
      <c r="G215" s="9" t="s">
        <v>6</v>
      </c>
      <c r="H215" s="9" t="s">
        <v>7</v>
      </c>
      <c r="I215" s="9" t="s">
        <v>8</v>
      </c>
      <c r="J215" s="9" t="s">
        <v>9</v>
      </c>
      <c r="K215" s="1"/>
      <c r="L215" s="1"/>
      <c r="M215" s="1"/>
      <c r="N215" s="1"/>
      <c r="O215" s="1"/>
      <c r="P215" s="1"/>
      <c r="Q215" s="1"/>
      <c r="R215" s="1"/>
      <c r="S215" s="1"/>
      <c r="T215" s="1"/>
      <c r="U215" s="1"/>
      <c r="V215" s="1"/>
      <c r="W215" s="1"/>
      <c r="X215" s="1"/>
      <c r="Y215" s="1"/>
      <c r="Z215" s="1"/>
      <c r="AA215" s="1"/>
      <c r="AB215" s="1"/>
    </row>
    <row r="216" ht="14.25" customHeight="1">
      <c r="A216" s="1"/>
      <c r="B216" s="105">
        <v>1.0</v>
      </c>
      <c r="C216" s="98" t="str">
        <f t="shared" ref="C216:C217" si="276">' 15. CANCEL..'!C55</f>
        <v>#REF!</v>
      </c>
      <c r="D216" s="106"/>
      <c r="E216" s="106"/>
      <c r="F216" s="147">
        <f t="shared" ref="F216:G216" si="274">D216/60</f>
        <v>0</v>
      </c>
      <c r="G216" s="147">
        <f t="shared" si="274"/>
        <v>0</v>
      </c>
      <c r="H216" s="148" t="str">
        <f t="shared" ref="H216:H217" si="278">' 15. CANCEL..'!R55</f>
        <v>#REF!</v>
      </c>
      <c r="I216" s="149" t="str">
        <f t="shared" ref="I216:J216" si="275">'14. RETURNS'!S20</f>
        <v>#REF!</v>
      </c>
      <c r="J216" s="149" t="str">
        <f t="shared" si="275"/>
        <v>#REF!</v>
      </c>
      <c r="K216" s="1"/>
      <c r="L216" s="1"/>
      <c r="M216" s="1"/>
      <c r="N216" s="1"/>
      <c r="O216" s="1"/>
      <c r="P216" s="1"/>
      <c r="Q216" s="1"/>
      <c r="R216" s="1"/>
      <c r="S216" s="1"/>
      <c r="T216" s="1"/>
      <c r="U216" s="1"/>
      <c r="V216" s="1"/>
      <c r="W216" s="1"/>
      <c r="X216" s="1"/>
      <c r="Y216" s="1"/>
      <c r="Z216" s="1"/>
      <c r="AA216" s="1"/>
      <c r="AB216" s="1"/>
    </row>
    <row r="217" ht="14.25" customHeight="1">
      <c r="A217" s="1"/>
      <c r="B217" s="105">
        <v>2.0</v>
      </c>
      <c r="C217" s="98" t="str">
        <f t="shared" si="276"/>
        <v>#REF!</v>
      </c>
      <c r="D217" s="106"/>
      <c r="E217" s="106"/>
      <c r="F217" s="147">
        <f t="shared" ref="F217:G217" si="277">D217/60</f>
        <v>0</v>
      </c>
      <c r="G217" s="147">
        <f t="shared" si="277"/>
        <v>0</v>
      </c>
      <c r="H217" s="148" t="str">
        <f t="shared" si="278"/>
        <v>#REF!</v>
      </c>
      <c r="I217" s="149"/>
      <c r="J217" s="149"/>
      <c r="K217" s="1"/>
      <c r="L217" s="1"/>
      <c r="M217" s="1"/>
      <c r="N217" s="1"/>
      <c r="O217" s="1"/>
      <c r="P217" s="1"/>
      <c r="Q217" s="1"/>
      <c r="R217" s="1"/>
      <c r="S217" s="1"/>
      <c r="T217" s="1"/>
      <c r="U217" s="1"/>
      <c r="V217" s="1"/>
      <c r="W217" s="1"/>
      <c r="X217" s="1"/>
      <c r="Y217" s="1"/>
      <c r="Z217" s="1"/>
      <c r="AA217" s="1"/>
      <c r="AB217" s="1"/>
    </row>
    <row r="218" ht="14.25" customHeight="1">
      <c r="A218" s="1"/>
      <c r="B218" s="94" t="s">
        <v>10</v>
      </c>
      <c r="C218" s="47"/>
      <c r="D218" s="95">
        <f t="shared" ref="D218:E218" si="279">sum(D216:D217)</f>
        <v>0</v>
      </c>
      <c r="E218" s="95">
        <f t="shared" si="279"/>
        <v>0</v>
      </c>
      <c r="F218" s="150">
        <f t="shared" ref="F218:G218" si="280">D218/60</f>
        <v>0</v>
      </c>
      <c r="G218" s="151">
        <f t="shared" si="280"/>
        <v>0</v>
      </c>
      <c r="H218" s="96" t="str">
        <f>sum(H216:H217)</f>
        <v>#REF!</v>
      </c>
      <c r="I218" s="152"/>
      <c r="J218" s="152"/>
      <c r="K218" s="1"/>
      <c r="L218" s="1"/>
      <c r="M218" s="1"/>
      <c r="N218" s="1"/>
      <c r="O218" s="1"/>
      <c r="P218" s="1"/>
      <c r="Q218" s="1"/>
      <c r="R218" s="1"/>
      <c r="S218" s="1"/>
      <c r="T218" s="1"/>
      <c r="U218" s="1"/>
      <c r="V218" s="1"/>
      <c r="W218" s="1"/>
      <c r="X218" s="1"/>
      <c r="Y218" s="1"/>
      <c r="Z218" s="1"/>
      <c r="AA218" s="1"/>
      <c r="AB218" s="1"/>
    </row>
    <row r="219" ht="14.25" customHeight="1">
      <c r="A219" s="1"/>
      <c r="B219" s="1"/>
      <c r="C219" s="1"/>
      <c r="D219" s="2"/>
      <c r="E219" s="2"/>
      <c r="F219" s="1"/>
      <c r="G219" s="1"/>
      <c r="H219" s="3"/>
      <c r="I219" s="1"/>
      <c r="J219" s="1"/>
      <c r="K219" s="1"/>
      <c r="L219" s="1"/>
      <c r="M219" s="1"/>
      <c r="N219" s="1"/>
      <c r="O219" s="1"/>
      <c r="P219" s="1"/>
      <c r="Q219" s="1"/>
      <c r="R219" s="1"/>
      <c r="S219" s="1"/>
      <c r="T219" s="1"/>
      <c r="U219" s="1"/>
      <c r="V219" s="1"/>
      <c r="W219" s="1"/>
      <c r="X219" s="1"/>
      <c r="Y219" s="1"/>
      <c r="Z219" s="1"/>
      <c r="AA219" s="1"/>
      <c r="AB219" s="1"/>
    </row>
    <row r="220" ht="14.25" customHeight="1">
      <c r="A220" s="1"/>
      <c r="B220" s="1"/>
      <c r="C220" s="1"/>
      <c r="D220" s="2"/>
      <c r="E220" s="2"/>
      <c r="F220" s="1"/>
      <c r="G220" s="1"/>
      <c r="H220" s="3"/>
      <c r="I220" s="1"/>
      <c r="J220" s="1"/>
      <c r="K220" s="1"/>
      <c r="L220" s="1"/>
      <c r="M220" s="1"/>
      <c r="N220" s="1"/>
      <c r="O220" s="1"/>
      <c r="P220" s="1"/>
      <c r="Q220" s="1"/>
      <c r="R220" s="1"/>
      <c r="S220" s="1"/>
      <c r="T220" s="1"/>
      <c r="U220" s="1"/>
      <c r="V220" s="1"/>
      <c r="W220" s="1"/>
      <c r="X220" s="1"/>
      <c r="Y220" s="1"/>
      <c r="Z220" s="1"/>
      <c r="AA220" s="1"/>
      <c r="AB220" s="1"/>
    </row>
    <row r="221" ht="14.25" customHeight="1">
      <c r="A221" s="1"/>
      <c r="B221" s="1"/>
      <c r="C221" s="1"/>
      <c r="D221" s="2"/>
      <c r="E221" s="2"/>
      <c r="F221" s="1"/>
      <c r="G221" s="1"/>
      <c r="H221" s="3"/>
      <c r="I221" s="1"/>
      <c r="J221" s="1"/>
      <c r="K221" s="1"/>
      <c r="L221" s="1"/>
      <c r="M221" s="1"/>
      <c r="N221" s="1"/>
      <c r="O221" s="1"/>
      <c r="P221" s="1"/>
      <c r="Q221" s="1"/>
      <c r="R221" s="1"/>
      <c r="S221" s="1"/>
      <c r="T221" s="1"/>
      <c r="U221" s="1"/>
      <c r="V221" s="1"/>
      <c r="W221" s="1"/>
      <c r="X221" s="1"/>
      <c r="Y221" s="1"/>
      <c r="Z221" s="1"/>
      <c r="AA221" s="1"/>
      <c r="AB221" s="1"/>
    </row>
    <row r="222" ht="14.25" customHeight="1">
      <c r="A222" s="1"/>
      <c r="B222" s="1"/>
      <c r="C222" s="1"/>
      <c r="D222" s="2"/>
      <c r="E222" s="2"/>
      <c r="F222" s="1"/>
      <c r="G222" s="1"/>
      <c r="H222" s="3"/>
      <c r="I222" s="1"/>
      <c r="J222" s="1"/>
      <c r="K222" s="1"/>
      <c r="L222" s="1"/>
      <c r="M222" s="1"/>
      <c r="N222" s="1"/>
      <c r="O222" s="1"/>
      <c r="P222" s="1"/>
      <c r="Q222" s="1"/>
      <c r="R222" s="1"/>
      <c r="S222" s="1"/>
      <c r="T222" s="1"/>
      <c r="U222" s="1"/>
      <c r="V222" s="1"/>
      <c r="W222" s="1"/>
      <c r="X222" s="1"/>
      <c r="Y222" s="1"/>
      <c r="Z222" s="1"/>
      <c r="AA222" s="1"/>
      <c r="AB222" s="1"/>
    </row>
    <row r="223" ht="14.25" customHeight="1">
      <c r="A223" s="1"/>
      <c r="B223" s="1"/>
      <c r="C223" s="1"/>
      <c r="D223" s="2"/>
      <c r="E223" s="2"/>
      <c r="F223" s="1"/>
      <c r="G223" s="1"/>
      <c r="H223" s="3"/>
      <c r="I223" s="1"/>
      <c r="J223" s="1"/>
      <c r="K223" s="1"/>
      <c r="L223" s="1"/>
      <c r="M223" s="1"/>
      <c r="N223" s="1"/>
      <c r="O223" s="1"/>
      <c r="P223" s="1"/>
      <c r="Q223" s="1"/>
      <c r="R223" s="1"/>
      <c r="S223" s="1"/>
      <c r="T223" s="1"/>
      <c r="U223" s="1"/>
      <c r="V223" s="1"/>
      <c r="W223" s="1"/>
      <c r="X223" s="1"/>
      <c r="Y223" s="1"/>
      <c r="Z223" s="1"/>
      <c r="AA223" s="1"/>
      <c r="AB223" s="1"/>
    </row>
    <row r="224" ht="14.25" customHeight="1">
      <c r="A224" s="1"/>
      <c r="B224" s="1"/>
      <c r="C224" s="1"/>
      <c r="D224" s="2"/>
      <c r="E224" s="2"/>
      <c r="F224" s="1"/>
      <c r="G224" s="1"/>
      <c r="H224" s="3"/>
      <c r="I224" s="1"/>
      <c r="J224" s="1"/>
      <c r="K224" s="1"/>
      <c r="L224" s="1"/>
      <c r="M224" s="1"/>
      <c r="N224" s="1"/>
      <c r="O224" s="1"/>
      <c r="P224" s="1"/>
      <c r="Q224" s="1"/>
      <c r="R224" s="1"/>
      <c r="S224" s="1"/>
      <c r="T224" s="1"/>
      <c r="U224" s="1"/>
      <c r="V224" s="1"/>
      <c r="W224" s="1"/>
      <c r="X224" s="1"/>
      <c r="Y224" s="1"/>
      <c r="Z224" s="1"/>
      <c r="AA224" s="1"/>
      <c r="AB224" s="1"/>
    </row>
    <row r="225" ht="14.25" customHeight="1">
      <c r="A225" s="1"/>
      <c r="B225" s="1"/>
      <c r="C225" s="1"/>
      <c r="D225" s="2"/>
      <c r="E225" s="2"/>
      <c r="F225" s="1"/>
      <c r="G225" s="1"/>
      <c r="H225" s="3"/>
      <c r="I225" s="1"/>
      <c r="J225" s="1"/>
      <c r="K225" s="1"/>
      <c r="L225" s="1"/>
      <c r="M225" s="1"/>
      <c r="N225" s="1"/>
      <c r="O225" s="1"/>
      <c r="P225" s="1"/>
      <c r="Q225" s="1"/>
      <c r="R225" s="1"/>
      <c r="S225" s="1"/>
      <c r="T225" s="1"/>
      <c r="U225" s="1"/>
      <c r="V225" s="1"/>
      <c r="W225" s="1"/>
      <c r="X225" s="1"/>
      <c r="Y225" s="1"/>
      <c r="Z225" s="1"/>
      <c r="AA225" s="1"/>
      <c r="AB225" s="1"/>
    </row>
    <row r="226" ht="14.25" customHeight="1">
      <c r="A226" s="1"/>
      <c r="B226" s="1"/>
      <c r="C226" s="1"/>
      <c r="D226" s="2"/>
      <c r="E226" s="2"/>
      <c r="F226" s="1"/>
      <c r="G226" s="1"/>
      <c r="H226" s="3"/>
      <c r="I226" s="1"/>
      <c r="J226" s="1"/>
      <c r="K226" s="1"/>
      <c r="L226" s="1"/>
      <c r="M226" s="1"/>
      <c r="N226" s="1"/>
      <c r="O226" s="1"/>
      <c r="P226" s="1"/>
      <c r="Q226" s="1"/>
      <c r="R226" s="1"/>
      <c r="S226" s="1"/>
      <c r="T226" s="1"/>
      <c r="U226" s="1"/>
      <c r="V226" s="1"/>
      <c r="W226" s="1"/>
      <c r="X226" s="1"/>
      <c r="Y226" s="1"/>
      <c r="Z226" s="1"/>
      <c r="AA226" s="1"/>
      <c r="AB226" s="1"/>
    </row>
    <row r="227" ht="14.25" customHeight="1">
      <c r="A227" s="1"/>
      <c r="B227" s="1"/>
      <c r="C227" s="1"/>
      <c r="D227" s="2"/>
      <c r="E227" s="2"/>
      <c r="F227" s="1"/>
      <c r="G227" s="1"/>
      <c r="H227" s="3"/>
      <c r="I227" s="1"/>
      <c r="J227" s="1"/>
      <c r="K227" s="1"/>
      <c r="L227" s="1"/>
      <c r="M227" s="1"/>
      <c r="N227" s="1"/>
      <c r="O227" s="1"/>
      <c r="P227" s="1"/>
      <c r="Q227" s="1"/>
      <c r="R227" s="1"/>
      <c r="S227" s="1"/>
      <c r="T227" s="1"/>
      <c r="U227" s="1"/>
      <c r="V227" s="1"/>
      <c r="W227" s="1"/>
      <c r="X227" s="1"/>
      <c r="Y227" s="1"/>
      <c r="Z227" s="1"/>
      <c r="AA227" s="1"/>
      <c r="AB227" s="1"/>
    </row>
    <row r="228" ht="14.25" customHeight="1">
      <c r="A228" s="1"/>
      <c r="B228" s="1"/>
      <c r="C228" s="1"/>
      <c r="D228" s="2"/>
      <c r="E228" s="2"/>
      <c r="F228" s="1"/>
      <c r="G228" s="1"/>
      <c r="H228" s="3"/>
      <c r="I228" s="1"/>
      <c r="J228" s="1"/>
      <c r="K228" s="1"/>
      <c r="L228" s="1"/>
      <c r="M228" s="1"/>
      <c r="N228" s="1"/>
      <c r="O228" s="1"/>
      <c r="P228" s="1"/>
      <c r="Q228" s="1"/>
      <c r="R228" s="1"/>
      <c r="S228" s="1"/>
      <c r="T228" s="1"/>
      <c r="U228" s="1"/>
      <c r="V228" s="1"/>
      <c r="W228" s="1"/>
      <c r="X228" s="1"/>
      <c r="Y228" s="1"/>
      <c r="Z228" s="1"/>
      <c r="AA228" s="1"/>
      <c r="AB228" s="1"/>
    </row>
    <row r="229" ht="14.25" customHeight="1">
      <c r="A229" s="1"/>
      <c r="B229" s="1"/>
      <c r="C229" s="1"/>
      <c r="D229" s="2"/>
      <c r="E229" s="2"/>
      <c r="F229" s="1"/>
      <c r="G229" s="1"/>
      <c r="H229" s="3"/>
      <c r="I229" s="1"/>
      <c r="J229" s="1"/>
      <c r="K229" s="1"/>
      <c r="L229" s="1"/>
      <c r="M229" s="1"/>
      <c r="N229" s="1"/>
      <c r="O229" s="1"/>
      <c r="P229" s="1"/>
      <c r="Q229" s="1"/>
      <c r="R229" s="1"/>
      <c r="S229" s="1"/>
      <c r="T229" s="1"/>
      <c r="U229" s="1"/>
      <c r="V229" s="1"/>
      <c r="W229" s="1"/>
      <c r="X229" s="1"/>
      <c r="Y229" s="1"/>
      <c r="Z229" s="1"/>
      <c r="AA229" s="1"/>
      <c r="AB229" s="1"/>
    </row>
    <row r="230" ht="14.25" customHeight="1">
      <c r="A230" s="1"/>
      <c r="B230" s="1"/>
      <c r="C230" s="1"/>
      <c r="D230" s="2"/>
      <c r="E230" s="2"/>
      <c r="F230" s="1"/>
      <c r="G230" s="1"/>
      <c r="H230" s="3"/>
      <c r="I230" s="1"/>
      <c r="J230" s="1"/>
      <c r="K230" s="1"/>
      <c r="L230" s="1"/>
      <c r="M230" s="1"/>
      <c r="N230" s="1"/>
      <c r="O230" s="1"/>
      <c r="P230" s="1"/>
      <c r="Q230" s="1"/>
      <c r="R230" s="1"/>
      <c r="S230" s="1"/>
      <c r="T230" s="1"/>
      <c r="U230" s="1"/>
      <c r="V230" s="1"/>
      <c r="W230" s="1"/>
      <c r="X230" s="1"/>
      <c r="Y230" s="1"/>
      <c r="Z230" s="1"/>
      <c r="AA230" s="1"/>
      <c r="AB230" s="1"/>
    </row>
    <row r="231" ht="14.25" customHeight="1">
      <c r="A231" s="1"/>
      <c r="B231" s="1"/>
      <c r="C231" s="1"/>
      <c r="D231" s="2"/>
      <c r="E231" s="2"/>
      <c r="F231" s="1"/>
      <c r="G231" s="1"/>
      <c r="H231" s="3"/>
      <c r="I231" s="1"/>
      <c r="J231" s="1"/>
      <c r="K231" s="1"/>
      <c r="L231" s="1"/>
      <c r="M231" s="1"/>
      <c r="N231" s="1"/>
      <c r="O231" s="1"/>
      <c r="P231" s="1"/>
      <c r="Q231" s="1"/>
      <c r="R231" s="1"/>
      <c r="S231" s="1"/>
      <c r="T231" s="1"/>
      <c r="U231" s="1"/>
      <c r="V231" s="1"/>
      <c r="W231" s="1"/>
      <c r="X231" s="1"/>
      <c r="Y231" s="1"/>
      <c r="Z231" s="1"/>
      <c r="AA231" s="1"/>
      <c r="AB231" s="1"/>
    </row>
    <row r="232" ht="14.25" customHeight="1">
      <c r="A232" s="1"/>
      <c r="B232" s="1"/>
      <c r="C232" s="1"/>
      <c r="D232" s="2"/>
      <c r="E232" s="2"/>
      <c r="F232" s="1"/>
      <c r="G232" s="1"/>
      <c r="H232" s="3"/>
      <c r="I232" s="1"/>
      <c r="J232" s="1"/>
      <c r="K232" s="1"/>
      <c r="L232" s="1"/>
      <c r="M232" s="1"/>
      <c r="N232" s="1"/>
      <c r="O232" s="1"/>
      <c r="P232" s="1"/>
      <c r="Q232" s="1"/>
      <c r="R232" s="1"/>
      <c r="S232" s="1"/>
      <c r="T232" s="1"/>
      <c r="U232" s="1"/>
      <c r="V232" s="1"/>
      <c r="W232" s="1"/>
      <c r="X232" s="1"/>
      <c r="Y232" s="1"/>
      <c r="Z232" s="1"/>
      <c r="AA232" s="1"/>
      <c r="AB232" s="1"/>
    </row>
    <row r="233" ht="14.25" customHeight="1">
      <c r="A233" s="1"/>
      <c r="B233" s="1"/>
      <c r="C233" s="1"/>
      <c r="D233" s="2"/>
      <c r="E233" s="2"/>
      <c r="F233" s="1"/>
      <c r="G233" s="1"/>
      <c r="H233" s="3"/>
      <c r="I233" s="1"/>
      <c r="J233" s="1"/>
      <c r="K233" s="1"/>
      <c r="L233" s="1"/>
      <c r="M233" s="1"/>
      <c r="N233" s="1"/>
      <c r="O233" s="1"/>
      <c r="P233" s="1"/>
      <c r="Q233" s="1"/>
      <c r="R233" s="1"/>
      <c r="S233" s="1"/>
      <c r="T233" s="1"/>
      <c r="U233" s="1"/>
      <c r="V233" s="1"/>
      <c r="W233" s="1"/>
      <c r="X233" s="1"/>
      <c r="Y233" s="1"/>
      <c r="Z233" s="1"/>
      <c r="AA233" s="1"/>
      <c r="AB233" s="1"/>
    </row>
    <row r="234" ht="14.25" customHeight="1">
      <c r="A234" s="1"/>
      <c r="B234" s="1"/>
      <c r="C234" s="1"/>
      <c r="D234" s="2"/>
      <c r="E234" s="2"/>
      <c r="F234" s="1"/>
      <c r="G234" s="1"/>
      <c r="H234" s="3"/>
      <c r="I234" s="1"/>
      <c r="J234" s="1"/>
      <c r="K234" s="1"/>
      <c r="L234" s="1"/>
      <c r="M234" s="1"/>
      <c r="N234" s="1"/>
      <c r="O234" s="1"/>
      <c r="P234" s="1"/>
      <c r="Q234" s="1"/>
      <c r="R234" s="1"/>
      <c r="S234" s="1"/>
      <c r="T234" s="1"/>
      <c r="U234" s="1"/>
      <c r="V234" s="1"/>
      <c r="W234" s="1"/>
      <c r="X234" s="1"/>
      <c r="Y234" s="1"/>
      <c r="Z234" s="1"/>
      <c r="AA234" s="1"/>
      <c r="AB234" s="1"/>
    </row>
    <row r="235" ht="14.25" customHeight="1">
      <c r="A235" s="1"/>
      <c r="B235" s="1"/>
      <c r="C235" s="1"/>
      <c r="D235" s="2"/>
      <c r="E235" s="2"/>
      <c r="F235" s="1"/>
      <c r="G235" s="1"/>
      <c r="H235" s="3"/>
      <c r="I235" s="1"/>
      <c r="J235" s="1"/>
      <c r="K235" s="1"/>
      <c r="L235" s="1"/>
      <c r="M235" s="1"/>
      <c r="N235" s="1"/>
      <c r="O235" s="1"/>
      <c r="P235" s="1"/>
      <c r="Q235" s="1"/>
      <c r="R235" s="1"/>
      <c r="S235" s="1"/>
      <c r="T235" s="1"/>
      <c r="U235" s="1"/>
      <c r="V235" s="1"/>
      <c r="W235" s="1"/>
      <c r="X235" s="1"/>
      <c r="Y235" s="1"/>
      <c r="Z235" s="1"/>
      <c r="AA235" s="1"/>
      <c r="AB235" s="1"/>
    </row>
    <row r="236" ht="14.25" customHeight="1">
      <c r="A236" s="1"/>
      <c r="B236" s="1"/>
      <c r="C236" s="1"/>
      <c r="D236" s="2"/>
      <c r="E236" s="2"/>
      <c r="F236" s="1"/>
      <c r="G236" s="1"/>
      <c r="H236" s="3"/>
      <c r="I236" s="1"/>
      <c r="J236" s="1"/>
      <c r="K236" s="1"/>
      <c r="L236" s="1"/>
      <c r="M236" s="1"/>
      <c r="N236" s="1"/>
      <c r="O236" s="1"/>
      <c r="P236" s="1"/>
      <c r="Q236" s="1"/>
      <c r="R236" s="1"/>
      <c r="S236" s="1"/>
      <c r="T236" s="1"/>
      <c r="U236" s="1"/>
      <c r="V236" s="1"/>
      <c r="W236" s="1"/>
      <c r="X236" s="1"/>
      <c r="Y236" s="1"/>
      <c r="Z236" s="1"/>
      <c r="AA236" s="1"/>
      <c r="AB236" s="1"/>
    </row>
    <row r="237" ht="14.25" customHeight="1">
      <c r="A237" s="1"/>
      <c r="B237" s="1"/>
      <c r="C237" s="1"/>
      <c r="D237" s="2"/>
      <c r="E237" s="2"/>
      <c r="F237" s="1"/>
      <c r="G237" s="1"/>
      <c r="H237" s="3"/>
      <c r="I237" s="1"/>
      <c r="J237" s="1"/>
      <c r="K237" s="1"/>
      <c r="L237" s="1"/>
      <c r="M237" s="1"/>
      <c r="N237" s="1"/>
      <c r="O237" s="1"/>
      <c r="P237" s="1"/>
      <c r="Q237" s="1"/>
      <c r="R237" s="1"/>
      <c r="S237" s="1"/>
      <c r="T237" s="1"/>
      <c r="U237" s="1"/>
      <c r="V237" s="1"/>
      <c r="W237" s="1"/>
      <c r="X237" s="1"/>
      <c r="Y237" s="1"/>
      <c r="Z237" s="1"/>
      <c r="AA237" s="1"/>
      <c r="AB237" s="1"/>
    </row>
    <row r="238" ht="14.25" customHeight="1">
      <c r="A238" s="1"/>
      <c r="B238" s="1"/>
      <c r="C238" s="1"/>
      <c r="D238" s="2"/>
      <c r="E238" s="2"/>
      <c r="F238" s="1"/>
      <c r="G238" s="1"/>
      <c r="H238" s="3"/>
      <c r="I238" s="1"/>
      <c r="J238" s="1"/>
      <c r="K238" s="1"/>
      <c r="L238" s="1"/>
      <c r="M238" s="1"/>
      <c r="N238" s="1"/>
      <c r="O238" s="1"/>
      <c r="P238" s="1"/>
      <c r="Q238" s="1"/>
      <c r="R238" s="1"/>
      <c r="S238" s="1"/>
      <c r="T238" s="1"/>
      <c r="U238" s="1"/>
      <c r="V238" s="1"/>
      <c r="W238" s="1"/>
      <c r="X238" s="1"/>
      <c r="Y238" s="1"/>
      <c r="Z238" s="1"/>
      <c r="AA238" s="1"/>
      <c r="AB238" s="1"/>
    </row>
    <row r="239" ht="14.25" customHeight="1">
      <c r="A239" s="1"/>
      <c r="B239" s="1"/>
      <c r="C239" s="1"/>
      <c r="D239" s="2"/>
      <c r="E239" s="2"/>
      <c r="F239" s="1"/>
      <c r="G239" s="1"/>
      <c r="H239" s="3"/>
      <c r="I239" s="1"/>
      <c r="J239" s="1"/>
      <c r="K239" s="1"/>
      <c r="L239" s="1"/>
      <c r="M239" s="1"/>
      <c r="N239" s="1"/>
      <c r="O239" s="1"/>
      <c r="P239" s="1"/>
      <c r="Q239" s="1"/>
      <c r="R239" s="1"/>
      <c r="S239" s="1"/>
      <c r="T239" s="1"/>
      <c r="U239" s="1"/>
      <c r="V239" s="1"/>
      <c r="W239" s="1"/>
      <c r="X239" s="1"/>
      <c r="Y239" s="1"/>
      <c r="Z239" s="1"/>
      <c r="AA239" s="1"/>
      <c r="AB239" s="1"/>
    </row>
    <row r="240" ht="14.25" customHeight="1">
      <c r="A240" s="1"/>
      <c r="B240" s="1"/>
      <c r="C240" s="1"/>
      <c r="D240" s="2"/>
      <c r="E240" s="2"/>
      <c r="F240" s="1"/>
      <c r="G240" s="1"/>
      <c r="H240" s="3"/>
      <c r="I240" s="1"/>
      <c r="J240" s="1"/>
      <c r="K240" s="1"/>
      <c r="L240" s="1"/>
      <c r="M240" s="1"/>
      <c r="N240" s="1"/>
      <c r="O240" s="1"/>
      <c r="P240" s="1"/>
      <c r="Q240" s="1"/>
      <c r="R240" s="1"/>
      <c r="S240" s="1"/>
      <c r="T240" s="1"/>
      <c r="U240" s="1"/>
      <c r="V240" s="1"/>
      <c r="W240" s="1"/>
      <c r="X240" s="1"/>
      <c r="Y240" s="1"/>
      <c r="Z240" s="1"/>
      <c r="AA240" s="1"/>
      <c r="AB240" s="1"/>
    </row>
    <row r="241" ht="14.25" customHeight="1">
      <c r="A241" s="1"/>
      <c r="B241" s="1"/>
      <c r="C241" s="1"/>
      <c r="D241" s="2"/>
      <c r="E241" s="2"/>
      <c r="F241" s="1"/>
      <c r="G241" s="1"/>
      <c r="H241" s="3"/>
      <c r="I241" s="1"/>
      <c r="J241" s="1"/>
      <c r="K241" s="1"/>
      <c r="L241" s="1"/>
      <c r="M241" s="1"/>
      <c r="N241" s="1"/>
      <c r="O241" s="1"/>
      <c r="P241" s="1"/>
      <c r="Q241" s="1"/>
      <c r="R241" s="1"/>
      <c r="S241" s="1"/>
      <c r="T241" s="1"/>
      <c r="U241" s="1"/>
      <c r="V241" s="1"/>
      <c r="W241" s="1"/>
      <c r="X241" s="1"/>
      <c r="Y241" s="1"/>
      <c r="Z241" s="1"/>
      <c r="AA241" s="1"/>
      <c r="AB241" s="1"/>
    </row>
    <row r="242" ht="14.25" customHeight="1">
      <c r="A242" s="1"/>
      <c r="B242" s="1"/>
      <c r="C242" s="1"/>
      <c r="D242" s="2"/>
      <c r="E242" s="2"/>
      <c r="F242" s="1"/>
      <c r="G242" s="1"/>
      <c r="H242" s="3"/>
      <c r="I242" s="1"/>
      <c r="J242" s="1"/>
      <c r="K242" s="1"/>
      <c r="L242" s="1"/>
      <c r="M242" s="1"/>
      <c r="N242" s="1"/>
      <c r="O242" s="1"/>
      <c r="P242" s="1"/>
      <c r="Q242" s="1"/>
      <c r="R242" s="1"/>
      <c r="S242" s="1"/>
      <c r="T242" s="1"/>
      <c r="U242" s="1"/>
      <c r="V242" s="1"/>
      <c r="W242" s="1"/>
      <c r="X242" s="1"/>
      <c r="Y242" s="1"/>
      <c r="Z242" s="1"/>
      <c r="AA242" s="1"/>
      <c r="AB242" s="1"/>
    </row>
    <row r="243" ht="14.25" customHeight="1">
      <c r="A243" s="1"/>
      <c r="B243" s="1"/>
      <c r="C243" s="1"/>
      <c r="D243" s="2"/>
      <c r="E243" s="2"/>
      <c r="F243" s="1"/>
      <c r="G243" s="1"/>
      <c r="H243" s="3"/>
      <c r="I243" s="1"/>
      <c r="J243" s="1"/>
      <c r="K243" s="1"/>
      <c r="L243" s="1"/>
      <c r="M243" s="1"/>
      <c r="N243" s="1"/>
      <c r="O243" s="1"/>
      <c r="P243" s="1"/>
      <c r="Q243" s="1"/>
      <c r="R243" s="1"/>
      <c r="S243" s="1"/>
      <c r="T243" s="1"/>
      <c r="U243" s="1"/>
      <c r="V243" s="1"/>
      <c r="W243" s="1"/>
      <c r="X243" s="1"/>
      <c r="Y243" s="1"/>
      <c r="Z243" s="1"/>
      <c r="AA243" s="1"/>
      <c r="AB243" s="1"/>
    </row>
    <row r="244" ht="14.25" customHeight="1">
      <c r="A244" s="1"/>
      <c r="B244" s="1"/>
      <c r="C244" s="1"/>
      <c r="D244" s="2"/>
      <c r="E244" s="2"/>
      <c r="F244" s="1"/>
      <c r="G244" s="1"/>
      <c r="H244" s="3"/>
      <c r="I244" s="1"/>
      <c r="J244" s="1"/>
      <c r="K244" s="1"/>
      <c r="L244" s="1"/>
      <c r="M244" s="1"/>
      <c r="N244" s="1"/>
      <c r="O244" s="1"/>
      <c r="P244" s="1"/>
      <c r="Q244" s="1"/>
      <c r="R244" s="1"/>
      <c r="S244" s="1"/>
      <c r="T244" s="1"/>
      <c r="U244" s="1"/>
      <c r="V244" s="1"/>
      <c r="W244" s="1"/>
      <c r="X244" s="1"/>
      <c r="Y244" s="1"/>
      <c r="Z244" s="1"/>
      <c r="AA244" s="1"/>
      <c r="AB244" s="1"/>
    </row>
    <row r="245" ht="14.25" customHeight="1">
      <c r="A245" s="1"/>
      <c r="B245" s="1"/>
      <c r="C245" s="1"/>
      <c r="D245" s="2"/>
      <c r="E245" s="2"/>
      <c r="F245" s="1"/>
      <c r="G245" s="1"/>
      <c r="H245" s="3"/>
      <c r="I245" s="1"/>
      <c r="J245" s="1"/>
      <c r="K245" s="1"/>
      <c r="L245" s="1"/>
      <c r="M245" s="1"/>
      <c r="N245" s="1"/>
      <c r="O245" s="1"/>
      <c r="P245" s="1"/>
      <c r="Q245" s="1"/>
      <c r="R245" s="1"/>
      <c r="S245" s="1"/>
      <c r="T245" s="1"/>
      <c r="U245" s="1"/>
      <c r="V245" s="1"/>
      <c r="W245" s="1"/>
      <c r="X245" s="1"/>
      <c r="Y245" s="1"/>
      <c r="Z245" s="1"/>
      <c r="AA245" s="1"/>
      <c r="AB245" s="1"/>
    </row>
    <row r="246" ht="14.25" customHeight="1">
      <c r="A246" s="1"/>
      <c r="B246" s="1"/>
      <c r="C246" s="1"/>
      <c r="D246" s="2"/>
      <c r="E246" s="2"/>
      <c r="F246" s="1"/>
      <c r="G246" s="1"/>
      <c r="H246" s="3"/>
      <c r="I246" s="1"/>
      <c r="J246" s="1"/>
      <c r="K246" s="1"/>
      <c r="L246" s="1"/>
      <c r="M246" s="1"/>
      <c r="N246" s="1"/>
      <c r="O246" s="1"/>
      <c r="P246" s="1"/>
      <c r="Q246" s="1"/>
      <c r="R246" s="1"/>
      <c r="S246" s="1"/>
      <c r="T246" s="1"/>
      <c r="U246" s="1"/>
      <c r="V246" s="1"/>
      <c r="W246" s="1"/>
      <c r="X246" s="1"/>
      <c r="Y246" s="1"/>
      <c r="Z246" s="1"/>
      <c r="AA246" s="1"/>
      <c r="AB246" s="1"/>
    </row>
    <row r="247" ht="14.25" customHeight="1">
      <c r="A247" s="1"/>
      <c r="B247" s="1"/>
      <c r="C247" s="1"/>
      <c r="D247" s="2"/>
      <c r="E247" s="2"/>
      <c r="F247" s="1"/>
      <c r="G247" s="1"/>
      <c r="H247" s="3"/>
      <c r="I247" s="1"/>
      <c r="J247" s="1"/>
      <c r="K247" s="1"/>
      <c r="L247" s="1"/>
      <c r="M247" s="1"/>
      <c r="N247" s="1"/>
      <c r="O247" s="1"/>
      <c r="P247" s="1"/>
      <c r="Q247" s="1"/>
      <c r="R247" s="1"/>
      <c r="S247" s="1"/>
      <c r="T247" s="1"/>
      <c r="U247" s="1"/>
      <c r="V247" s="1"/>
      <c r="W247" s="1"/>
      <c r="X247" s="1"/>
      <c r="Y247" s="1"/>
      <c r="Z247" s="1"/>
      <c r="AA247" s="1"/>
      <c r="AB247" s="1"/>
    </row>
    <row r="248" ht="14.25" customHeight="1">
      <c r="A248" s="1"/>
      <c r="B248" s="1"/>
      <c r="C248" s="1"/>
      <c r="D248" s="2"/>
      <c r="E248" s="2"/>
      <c r="F248" s="1"/>
      <c r="G248" s="1"/>
      <c r="H248" s="3"/>
      <c r="I248" s="1"/>
      <c r="J248" s="1"/>
      <c r="K248" s="1"/>
      <c r="L248" s="1"/>
      <c r="M248" s="1"/>
      <c r="N248" s="1"/>
      <c r="O248" s="1"/>
      <c r="P248" s="1"/>
      <c r="Q248" s="1"/>
      <c r="R248" s="1"/>
      <c r="S248" s="1"/>
      <c r="T248" s="1"/>
      <c r="U248" s="1"/>
      <c r="V248" s="1"/>
      <c r="W248" s="1"/>
      <c r="X248" s="1"/>
      <c r="Y248" s="1"/>
      <c r="Z248" s="1"/>
      <c r="AA248" s="1"/>
      <c r="AB248" s="1"/>
    </row>
    <row r="249" ht="14.25" customHeight="1">
      <c r="A249" s="1"/>
      <c r="B249" s="1"/>
      <c r="C249" s="1"/>
      <c r="D249" s="2"/>
      <c r="E249" s="2"/>
      <c r="F249" s="1"/>
      <c r="G249" s="1"/>
      <c r="H249" s="3"/>
      <c r="I249" s="1"/>
      <c r="J249" s="1"/>
      <c r="K249" s="1"/>
      <c r="L249" s="1"/>
      <c r="M249" s="1"/>
      <c r="N249" s="1"/>
      <c r="O249" s="1"/>
      <c r="P249" s="1"/>
      <c r="Q249" s="1"/>
      <c r="R249" s="1"/>
      <c r="S249" s="1"/>
      <c r="T249" s="1"/>
      <c r="U249" s="1"/>
      <c r="V249" s="1"/>
      <c r="W249" s="1"/>
      <c r="X249" s="1"/>
      <c r="Y249" s="1"/>
      <c r="Z249" s="1"/>
      <c r="AA249" s="1"/>
      <c r="AB249" s="1"/>
    </row>
    <row r="250" ht="14.25" customHeight="1">
      <c r="A250" s="1"/>
      <c r="B250" s="1"/>
      <c r="C250" s="1"/>
      <c r="D250" s="2"/>
      <c r="E250" s="2"/>
      <c r="F250" s="1"/>
      <c r="G250" s="1"/>
      <c r="H250" s="3"/>
      <c r="I250" s="1"/>
      <c r="J250" s="1"/>
      <c r="K250" s="1"/>
      <c r="L250" s="1"/>
      <c r="M250" s="1"/>
      <c r="N250" s="1"/>
      <c r="O250" s="1"/>
      <c r="P250" s="1"/>
      <c r="Q250" s="1"/>
      <c r="R250" s="1"/>
      <c r="S250" s="1"/>
      <c r="T250" s="1"/>
      <c r="U250" s="1"/>
      <c r="V250" s="1"/>
      <c r="W250" s="1"/>
      <c r="X250" s="1"/>
      <c r="Y250" s="1"/>
      <c r="Z250" s="1"/>
      <c r="AA250" s="1"/>
      <c r="AB250" s="1"/>
    </row>
    <row r="251" ht="14.25" customHeight="1">
      <c r="A251" s="1"/>
      <c r="B251" s="1"/>
      <c r="C251" s="1"/>
      <c r="D251" s="2"/>
      <c r="E251" s="2"/>
      <c r="F251" s="1"/>
      <c r="G251" s="1"/>
      <c r="H251" s="3"/>
      <c r="I251" s="1"/>
      <c r="J251" s="1"/>
      <c r="K251" s="1"/>
      <c r="L251" s="1"/>
      <c r="M251" s="1"/>
      <c r="N251" s="1"/>
      <c r="O251" s="1"/>
      <c r="P251" s="1"/>
      <c r="Q251" s="1"/>
      <c r="R251" s="1"/>
      <c r="S251" s="1"/>
      <c r="T251" s="1"/>
      <c r="U251" s="1"/>
      <c r="V251" s="1"/>
      <c r="W251" s="1"/>
      <c r="X251" s="1"/>
      <c r="Y251" s="1"/>
      <c r="Z251" s="1"/>
      <c r="AA251" s="1"/>
      <c r="AB251" s="1"/>
    </row>
    <row r="252" ht="14.25" customHeight="1">
      <c r="A252" s="1"/>
      <c r="B252" s="1"/>
      <c r="C252" s="1"/>
      <c r="D252" s="2"/>
      <c r="E252" s="2"/>
      <c r="F252" s="1"/>
      <c r="G252" s="1"/>
      <c r="H252" s="3"/>
      <c r="I252" s="1"/>
      <c r="J252" s="1"/>
      <c r="K252" s="1"/>
      <c r="L252" s="1"/>
      <c r="M252" s="1"/>
      <c r="N252" s="1"/>
      <c r="O252" s="1"/>
      <c r="P252" s="1"/>
      <c r="Q252" s="1"/>
      <c r="R252" s="1"/>
      <c r="S252" s="1"/>
      <c r="T252" s="1"/>
      <c r="U252" s="1"/>
      <c r="V252" s="1"/>
      <c r="W252" s="1"/>
      <c r="X252" s="1"/>
      <c r="Y252" s="1"/>
      <c r="Z252" s="1"/>
      <c r="AA252" s="1"/>
      <c r="AB252" s="1"/>
    </row>
    <row r="253" ht="14.25" customHeight="1">
      <c r="A253" s="1"/>
      <c r="B253" s="1"/>
      <c r="C253" s="1"/>
      <c r="D253" s="2"/>
      <c r="E253" s="2"/>
      <c r="F253" s="1"/>
      <c r="G253" s="1"/>
      <c r="H253" s="3"/>
      <c r="I253" s="1"/>
      <c r="J253" s="1"/>
      <c r="K253" s="1"/>
      <c r="L253" s="1"/>
      <c r="M253" s="1"/>
      <c r="N253" s="1"/>
      <c r="O253" s="1"/>
      <c r="P253" s="1"/>
      <c r="Q253" s="1"/>
      <c r="R253" s="1"/>
      <c r="S253" s="1"/>
      <c r="T253" s="1"/>
      <c r="U253" s="1"/>
      <c r="V253" s="1"/>
      <c r="W253" s="1"/>
      <c r="X253" s="1"/>
      <c r="Y253" s="1"/>
      <c r="Z253" s="1"/>
      <c r="AA253" s="1"/>
      <c r="AB253" s="1"/>
    </row>
    <row r="254" ht="14.25" customHeight="1">
      <c r="A254" s="1"/>
      <c r="B254" s="1"/>
      <c r="C254" s="1"/>
      <c r="D254" s="2"/>
      <c r="E254" s="2"/>
      <c r="F254" s="1"/>
      <c r="G254" s="1"/>
      <c r="H254" s="3"/>
      <c r="I254" s="1"/>
      <c r="J254" s="1"/>
      <c r="K254" s="1"/>
      <c r="L254" s="1"/>
      <c r="M254" s="1"/>
      <c r="N254" s="1"/>
      <c r="O254" s="1"/>
      <c r="P254" s="1"/>
      <c r="Q254" s="1"/>
      <c r="R254" s="1"/>
      <c r="S254" s="1"/>
      <c r="T254" s="1"/>
      <c r="U254" s="1"/>
      <c r="V254" s="1"/>
      <c r="W254" s="1"/>
      <c r="X254" s="1"/>
      <c r="Y254" s="1"/>
      <c r="Z254" s="1"/>
      <c r="AA254" s="1"/>
      <c r="AB254" s="1"/>
    </row>
    <row r="255" ht="14.25" customHeight="1">
      <c r="A255" s="1"/>
      <c r="B255" s="1"/>
      <c r="C255" s="1"/>
      <c r="D255" s="2"/>
      <c r="E255" s="2"/>
      <c r="F255" s="1"/>
      <c r="G255" s="1"/>
      <c r="H255" s="3"/>
      <c r="I255" s="1"/>
      <c r="J255" s="1"/>
      <c r="K255" s="1"/>
      <c r="L255" s="1"/>
      <c r="M255" s="1"/>
      <c r="N255" s="1"/>
      <c r="O255" s="1"/>
      <c r="P255" s="1"/>
      <c r="Q255" s="1"/>
      <c r="R255" s="1"/>
      <c r="S255" s="1"/>
      <c r="T255" s="1"/>
      <c r="U255" s="1"/>
      <c r="V255" s="1"/>
      <c r="W255" s="1"/>
      <c r="X255" s="1"/>
      <c r="Y255" s="1"/>
      <c r="Z255" s="1"/>
      <c r="AA255" s="1"/>
      <c r="AB255" s="1"/>
    </row>
    <row r="256" ht="14.25" customHeight="1">
      <c r="A256" s="1"/>
      <c r="B256" s="1"/>
      <c r="C256" s="1"/>
      <c r="D256" s="2"/>
      <c r="E256" s="2"/>
      <c r="F256" s="1"/>
      <c r="G256" s="1"/>
      <c r="H256" s="3"/>
      <c r="I256" s="1"/>
      <c r="J256" s="1"/>
      <c r="K256" s="1"/>
      <c r="L256" s="1"/>
      <c r="M256" s="1"/>
      <c r="N256" s="1"/>
      <c r="O256" s="1"/>
      <c r="P256" s="1"/>
      <c r="Q256" s="1"/>
      <c r="R256" s="1"/>
      <c r="S256" s="1"/>
      <c r="T256" s="1"/>
      <c r="U256" s="1"/>
      <c r="V256" s="1"/>
      <c r="W256" s="1"/>
      <c r="X256" s="1"/>
      <c r="Y256" s="1"/>
      <c r="Z256" s="1"/>
      <c r="AA256" s="1"/>
      <c r="AB256" s="1"/>
    </row>
    <row r="257" ht="14.25" customHeight="1">
      <c r="A257" s="1"/>
      <c r="B257" s="1"/>
      <c r="C257" s="1"/>
      <c r="D257" s="2"/>
      <c r="E257" s="2"/>
      <c r="F257" s="1"/>
      <c r="G257" s="1"/>
      <c r="H257" s="3"/>
      <c r="I257" s="1"/>
      <c r="J257" s="1"/>
      <c r="K257" s="1"/>
      <c r="L257" s="1"/>
      <c r="M257" s="1"/>
      <c r="N257" s="1"/>
      <c r="O257" s="1"/>
      <c r="P257" s="1"/>
      <c r="Q257" s="1"/>
      <c r="R257" s="1"/>
      <c r="S257" s="1"/>
      <c r="T257" s="1"/>
      <c r="U257" s="1"/>
      <c r="V257" s="1"/>
      <c r="W257" s="1"/>
      <c r="X257" s="1"/>
      <c r="Y257" s="1"/>
      <c r="Z257" s="1"/>
      <c r="AA257" s="1"/>
      <c r="AB257" s="1"/>
    </row>
    <row r="258" ht="14.25" customHeight="1">
      <c r="A258" s="1"/>
      <c r="B258" s="1"/>
      <c r="C258" s="1"/>
      <c r="D258" s="2"/>
      <c r="E258" s="2"/>
      <c r="F258" s="1"/>
      <c r="G258" s="1"/>
      <c r="H258" s="3"/>
      <c r="I258" s="1"/>
      <c r="J258" s="1"/>
      <c r="K258" s="1"/>
      <c r="L258" s="1"/>
      <c r="M258" s="1"/>
      <c r="N258" s="1"/>
      <c r="O258" s="1"/>
      <c r="P258" s="1"/>
      <c r="Q258" s="1"/>
      <c r="R258" s="1"/>
      <c r="S258" s="1"/>
      <c r="T258" s="1"/>
      <c r="U258" s="1"/>
      <c r="V258" s="1"/>
      <c r="W258" s="1"/>
      <c r="X258" s="1"/>
      <c r="Y258" s="1"/>
      <c r="Z258" s="1"/>
      <c r="AA258" s="1"/>
      <c r="AB258" s="1"/>
    </row>
    <row r="259" ht="14.25" customHeight="1">
      <c r="A259" s="1"/>
      <c r="B259" s="1"/>
      <c r="C259" s="1"/>
      <c r="D259" s="2"/>
      <c r="E259" s="2"/>
      <c r="F259" s="1"/>
      <c r="G259" s="1"/>
      <c r="H259" s="3"/>
      <c r="I259" s="1"/>
      <c r="J259" s="1"/>
      <c r="K259" s="1"/>
      <c r="L259" s="1"/>
      <c r="M259" s="1"/>
      <c r="N259" s="1"/>
      <c r="O259" s="1"/>
      <c r="P259" s="1"/>
      <c r="Q259" s="1"/>
      <c r="R259" s="1"/>
      <c r="S259" s="1"/>
      <c r="T259" s="1"/>
      <c r="U259" s="1"/>
      <c r="V259" s="1"/>
      <c r="W259" s="1"/>
      <c r="X259" s="1"/>
      <c r="Y259" s="1"/>
      <c r="Z259" s="1"/>
      <c r="AA259" s="1"/>
      <c r="AB259" s="1"/>
    </row>
    <row r="260" ht="14.25" customHeight="1">
      <c r="A260" s="1"/>
      <c r="B260" s="1"/>
      <c r="C260" s="1"/>
      <c r="D260" s="2"/>
      <c r="E260" s="2"/>
      <c r="F260" s="1"/>
      <c r="G260" s="1"/>
      <c r="H260" s="3"/>
      <c r="I260" s="1"/>
      <c r="J260" s="1"/>
      <c r="K260" s="1"/>
      <c r="L260" s="1"/>
      <c r="M260" s="1"/>
      <c r="N260" s="1"/>
      <c r="O260" s="1"/>
      <c r="P260" s="1"/>
      <c r="Q260" s="1"/>
      <c r="R260" s="1"/>
      <c r="S260" s="1"/>
      <c r="T260" s="1"/>
      <c r="U260" s="1"/>
      <c r="V260" s="1"/>
      <c r="W260" s="1"/>
      <c r="X260" s="1"/>
      <c r="Y260" s="1"/>
      <c r="Z260" s="1"/>
      <c r="AA260" s="1"/>
      <c r="AB260" s="1"/>
    </row>
    <row r="261" ht="14.25" customHeight="1">
      <c r="A261" s="1"/>
      <c r="B261" s="1"/>
      <c r="C261" s="1"/>
      <c r="D261" s="2"/>
      <c r="E261" s="2"/>
      <c r="F261" s="1"/>
      <c r="G261" s="1"/>
      <c r="H261" s="3"/>
      <c r="I261" s="1"/>
      <c r="J261" s="1"/>
      <c r="K261" s="1"/>
      <c r="L261" s="1"/>
      <c r="M261" s="1"/>
      <c r="N261" s="1"/>
      <c r="O261" s="1"/>
      <c r="P261" s="1"/>
      <c r="Q261" s="1"/>
      <c r="R261" s="1"/>
      <c r="S261" s="1"/>
      <c r="T261" s="1"/>
      <c r="U261" s="1"/>
      <c r="V261" s="1"/>
      <c r="W261" s="1"/>
      <c r="X261" s="1"/>
      <c r="Y261" s="1"/>
      <c r="Z261" s="1"/>
      <c r="AA261" s="1"/>
      <c r="AB261" s="1"/>
    </row>
    <row r="262" ht="14.25" customHeight="1">
      <c r="A262" s="1"/>
      <c r="B262" s="1"/>
      <c r="C262" s="1"/>
      <c r="D262" s="2"/>
      <c r="E262" s="2"/>
      <c r="F262" s="1"/>
      <c r="G262" s="1"/>
      <c r="H262" s="3"/>
      <c r="I262" s="1"/>
      <c r="J262" s="1"/>
      <c r="K262" s="1"/>
      <c r="L262" s="1"/>
      <c r="M262" s="1"/>
      <c r="N262" s="1"/>
      <c r="O262" s="1"/>
      <c r="P262" s="1"/>
      <c r="Q262" s="1"/>
      <c r="R262" s="1"/>
      <c r="S262" s="1"/>
      <c r="T262" s="1"/>
      <c r="U262" s="1"/>
      <c r="V262" s="1"/>
      <c r="W262" s="1"/>
      <c r="X262" s="1"/>
      <c r="Y262" s="1"/>
      <c r="Z262" s="1"/>
      <c r="AA262" s="1"/>
      <c r="AB262" s="1"/>
    </row>
    <row r="263" ht="14.25" customHeight="1">
      <c r="A263" s="1"/>
      <c r="B263" s="1"/>
      <c r="C263" s="1"/>
      <c r="D263" s="2"/>
      <c r="E263" s="2"/>
      <c r="F263" s="1"/>
      <c r="G263" s="1"/>
      <c r="H263" s="3"/>
      <c r="I263" s="1"/>
      <c r="J263" s="1"/>
      <c r="K263" s="1"/>
      <c r="L263" s="1"/>
      <c r="M263" s="1"/>
      <c r="N263" s="1"/>
      <c r="O263" s="1"/>
      <c r="P263" s="1"/>
      <c r="Q263" s="1"/>
      <c r="R263" s="1"/>
      <c r="S263" s="1"/>
      <c r="T263" s="1"/>
      <c r="U263" s="1"/>
      <c r="V263" s="1"/>
      <c r="W263" s="1"/>
      <c r="X263" s="1"/>
      <c r="Y263" s="1"/>
      <c r="Z263" s="1"/>
      <c r="AA263" s="1"/>
      <c r="AB263" s="1"/>
    </row>
    <row r="264" ht="14.25" customHeight="1">
      <c r="A264" s="1"/>
      <c r="B264" s="1"/>
      <c r="C264" s="1"/>
      <c r="D264" s="2"/>
      <c r="E264" s="2"/>
      <c r="F264" s="1"/>
      <c r="G264" s="1"/>
      <c r="H264" s="3"/>
      <c r="I264" s="1"/>
      <c r="J264" s="1"/>
      <c r="K264" s="1"/>
      <c r="L264" s="1"/>
      <c r="M264" s="1"/>
      <c r="N264" s="1"/>
      <c r="O264" s="1"/>
      <c r="P264" s="1"/>
      <c r="Q264" s="1"/>
      <c r="R264" s="1"/>
      <c r="S264" s="1"/>
      <c r="T264" s="1"/>
      <c r="U264" s="1"/>
      <c r="V264" s="1"/>
      <c r="W264" s="1"/>
      <c r="X264" s="1"/>
      <c r="Y264" s="1"/>
      <c r="Z264" s="1"/>
      <c r="AA264" s="1"/>
      <c r="AB264" s="1"/>
    </row>
    <row r="265" ht="14.25" customHeight="1">
      <c r="A265" s="1"/>
      <c r="B265" s="1"/>
      <c r="C265" s="1"/>
      <c r="D265" s="2"/>
      <c r="E265" s="2"/>
      <c r="F265" s="1"/>
      <c r="G265" s="1"/>
      <c r="H265" s="3"/>
      <c r="I265" s="1"/>
      <c r="J265" s="1"/>
      <c r="K265" s="1"/>
      <c r="L265" s="1"/>
      <c r="M265" s="1"/>
      <c r="N265" s="1"/>
      <c r="O265" s="1"/>
      <c r="P265" s="1"/>
      <c r="Q265" s="1"/>
      <c r="R265" s="1"/>
      <c r="S265" s="1"/>
      <c r="T265" s="1"/>
      <c r="U265" s="1"/>
      <c r="V265" s="1"/>
      <c r="W265" s="1"/>
      <c r="X265" s="1"/>
      <c r="Y265" s="1"/>
      <c r="Z265" s="1"/>
      <c r="AA265" s="1"/>
      <c r="AB265" s="1"/>
    </row>
    <row r="266" ht="14.25" customHeight="1">
      <c r="A266" s="1"/>
      <c r="B266" s="1"/>
      <c r="C266" s="1"/>
      <c r="D266" s="2"/>
      <c r="E266" s="2"/>
      <c r="F266" s="1"/>
      <c r="G266" s="1"/>
      <c r="H266" s="3"/>
      <c r="I266" s="1"/>
      <c r="J266" s="1"/>
      <c r="K266" s="1"/>
      <c r="L266" s="1"/>
      <c r="M266" s="1"/>
      <c r="N266" s="1"/>
      <c r="O266" s="1"/>
      <c r="P266" s="1"/>
      <c r="Q266" s="1"/>
      <c r="R266" s="1"/>
      <c r="S266" s="1"/>
      <c r="T266" s="1"/>
      <c r="U266" s="1"/>
      <c r="V266" s="1"/>
      <c r="W266" s="1"/>
      <c r="X266" s="1"/>
      <c r="Y266" s="1"/>
      <c r="Z266" s="1"/>
      <c r="AA266" s="1"/>
      <c r="AB266" s="1"/>
    </row>
    <row r="267" ht="14.25" customHeight="1">
      <c r="A267" s="1"/>
      <c r="B267" s="1"/>
      <c r="C267" s="1"/>
      <c r="D267" s="2"/>
      <c r="E267" s="2"/>
      <c r="F267" s="1"/>
      <c r="G267" s="1"/>
      <c r="H267" s="3"/>
      <c r="I267" s="1"/>
      <c r="J267" s="1"/>
      <c r="K267" s="1"/>
      <c r="L267" s="1"/>
      <c r="M267" s="1"/>
      <c r="N267" s="1"/>
      <c r="O267" s="1"/>
      <c r="P267" s="1"/>
      <c r="Q267" s="1"/>
      <c r="R267" s="1"/>
      <c r="S267" s="1"/>
      <c r="T267" s="1"/>
      <c r="U267" s="1"/>
      <c r="V267" s="1"/>
      <c r="W267" s="1"/>
      <c r="X267" s="1"/>
      <c r="Y267" s="1"/>
      <c r="Z267" s="1"/>
      <c r="AA267" s="1"/>
      <c r="AB267" s="1"/>
    </row>
    <row r="268" ht="14.25" customHeight="1">
      <c r="A268" s="1"/>
      <c r="B268" s="1"/>
      <c r="C268" s="1"/>
      <c r="D268" s="2"/>
      <c r="E268" s="2"/>
      <c r="F268" s="1"/>
      <c r="G268" s="1"/>
      <c r="H268" s="3"/>
      <c r="I268" s="1"/>
      <c r="J268" s="1"/>
      <c r="K268" s="1"/>
      <c r="L268" s="1"/>
      <c r="M268" s="1"/>
      <c r="N268" s="1"/>
      <c r="O268" s="1"/>
      <c r="P268" s="1"/>
      <c r="Q268" s="1"/>
      <c r="R268" s="1"/>
      <c r="S268" s="1"/>
      <c r="T268" s="1"/>
      <c r="U268" s="1"/>
      <c r="V268" s="1"/>
      <c r="W268" s="1"/>
      <c r="X268" s="1"/>
      <c r="Y268" s="1"/>
      <c r="Z268" s="1"/>
      <c r="AA268" s="1"/>
      <c r="AB268" s="1"/>
    </row>
    <row r="269" ht="14.25" customHeight="1">
      <c r="A269" s="1"/>
      <c r="B269" s="1"/>
      <c r="C269" s="1"/>
      <c r="D269" s="2"/>
      <c r="E269" s="2"/>
      <c r="F269" s="1"/>
      <c r="G269" s="1"/>
      <c r="H269" s="3"/>
      <c r="I269" s="1"/>
      <c r="J269" s="1"/>
      <c r="K269" s="1"/>
      <c r="L269" s="1"/>
      <c r="M269" s="1"/>
      <c r="N269" s="1"/>
      <c r="O269" s="1"/>
      <c r="P269" s="1"/>
      <c r="Q269" s="1"/>
      <c r="R269" s="1"/>
      <c r="S269" s="1"/>
      <c r="T269" s="1"/>
      <c r="U269" s="1"/>
      <c r="V269" s="1"/>
      <c r="W269" s="1"/>
      <c r="X269" s="1"/>
      <c r="Y269" s="1"/>
      <c r="Z269" s="1"/>
      <c r="AA269" s="1"/>
      <c r="AB269" s="1"/>
    </row>
    <row r="270" ht="14.25" customHeight="1">
      <c r="A270" s="1"/>
      <c r="B270" s="1"/>
      <c r="C270" s="1"/>
      <c r="D270" s="2"/>
      <c r="E270" s="2"/>
      <c r="F270" s="1"/>
      <c r="G270" s="1"/>
      <c r="H270" s="3"/>
      <c r="I270" s="1"/>
      <c r="J270" s="1"/>
      <c r="K270" s="1"/>
      <c r="L270" s="1"/>
      <c r="M270" s="1"/>
      <c r="N270" s="1"/>
      <c r="O270" s="1"/>
      <c r="P270" s="1"/>
      <c r="Q270" s="1"/>
      <c r="R270" s="1"/>
      <c r="S270" s="1"/>
      <c r="T270" s="1"/>
      <c r="U270" s="1"/>
      <c r="V270" s="1"/>
      <c r="W270" s="1"/>
      <c r="X270" s="1"/>
      <c r="Y270" s="1"/>
      <c r="Z270" s="1"/>
      <c r="AA270" s="1"/>
      <c r="AB270" s="1"/>
    </row>
    <row r="271" ht="14.25" customHeight="1">
      <c r="A271" s="1"/>
      <c r="B271" s="1"/>
      <c r="C271" s="1"/>
      <c r="D271" s="2"/>
      <c r="E271" s="2"/>
      <c r="F271" s="1"/>
      <c r="G271" s="1"/>
      <c r="H271" s="3"/>
      <c r="I271" s="1"/>
      <c r="J271" s="1"/>
      <c r="K271" s="1"/>
      <c r="L271" s="1"/>
      <c r="M271" s="1"/>
      <c r="N271" s="1"/>
      <c r="O271" s="1"/>
      <c r="P271" s="1"/>
      <c r="Q271" s="1"/>
      <c r="R271" s="1"/>
      <c r="S271" s="1"/>
      <c r="T271" s="1"/>
      <c r="U271" s="1"/>
      <c r="V271" s="1"/>
      <c r="W271" s="1"/>
      <c r="X271" s="1"/>
      <c r="Y271" s="1"/>
      <c r="Z271" s="1"/>
      <c r="AA271" s="1"/>
      <c r="AB271" s="1"/>
    </row>
    <row r="272" ht="14.25" customHeight="1">
      <c r="A272" s="1"/>
      <c r="B272" s="1"/>
      <c r="C272" s="1"/>
      <c r="D272" s="2"/>
      <c r="E272" s="2"/>
      <c r="F272" s="1"/>
      <c r="G272" s="1"/>
      <c r="H272" s="3"/>
      <c r="I272" s="1"/>
      <c r="J272" s="1"/>
      <c r="K272" s="1"/>
      <c r="L272" s="1"/>
      <c r="M272" s="1"/>
      <c r="N272" s="1"/>
      <c r="O272" s="1"/>
      <c r="P272" s="1"/>
      <c r="Q272" s="1"/>
      <c r="R272" s="1"/>
      <c r="S272" s="1"/>
      <c r="T272" s="1"/>
      <c r="U272" s="1"/>
      <c r="V272" s="1"/>
      <c r="W272" s="1"/>
      <c r="X272" s="1"/>
      <c r="Y272" s="1"/>
      <c r="Z272" s="1"/>
      <c r="AA272" s="1"/>
      <c r="AB272" s="1"/>
    </row>
    <row r="273" ht="14.25" customHeight="1">
      <c r="A273" s="1"/>
      <c r="B273" s="1"/>
      <c r="C273" s="1"/>
      <c r="D273" s="2"/>
      <c r="E273" s="2"/>
      <c r="F273" s="1"/>
      <c r="G273" s="1"/>
      <c r="H273" s="3"/>
      <c r="I273" s="1"/>
      <c r="J273" s="1"/>
      <c r="K273" s="1"/>
      <c r="L273" s="1"/>
      <c r="M273" s="1"/>
      <c r="N273" s="1"/>
      <c r="O273" s="1"/>
      <c r="P273" s="1"/>
      <c r="Q273" s="1"/>
      <c r="R273" s="1"/>
      <c r="S273" s="1"/>
      <c r="T273" s="1"/>
      <c r="U273" s="1"/>
      <c r="V273" s="1"/>
      <c r="W273" s="1"/>
      <c r="X273" s="1"/>
      <c r="Y273" s="1"/>
      <c r="Z273" s="1"/>
      <c r="AA273" s="1"/>
      <c r="AB273" s="1"/>
    </row>
    <row r="274" ht="14.25" customHeight="1">
      <c r="A274" s="1"/>
      <c r="B274" s="1"/>
      <c r="C274" s="1"/>
      <c r="D274" s="2"/>
      <c r="E274" s="2"/>
      <c r="F274" s="1"/>
      <c r="G274" s="1"/>
      <c r="H274" s="3"/>
      <c r="I274" s="1"/>
      <c r="J274" s="1"/>
      <c r="K274" s="1"/>
      <c r="L274" s="1"/>
      <c r="M274" s="1"/>
      <c r="N274" s="1"/>
      <c r="O274" s="1"/>
      <c r="P274" s="1"/>
      <c r="Q274" s="1"/>
      <c r="R274" s="1"/>
      <c r="S274" s="1"/>
      <c r="T274" s="1"/>
      <c r="U274" s="1"/>
      <c r="V274" s="1"/>
      <c r="W274" s="1"/>
      <c r="X274" s="1"/>
      <c r="Y274" s="1"/>
      <c r="Z274" s="1"/>
      <c r="AA274" s="1"/>
      <c r="AB274" s="1"/>
    </row>
    <row r="275" ht="14.25" customHeight="1">
      <c r="A275" s="1"/>
      <c r="B275" s="1"/>
      <c r="C275" s="1"/>
      <c r="D275" s="2"/>
      <c r="E275" s="2"/>
      <c r="F275" s="1"/>
      <c r="G275" s="1"/>
      <c r="H275" s="3"/>
      <c r="I275" s="1"/>
      <c r="J275" s="1"/>
      <c r="K275" s="1"/>
      <c r="L275" s="1"/>
      <c r="M275" s="1"/>
      <c r="N275" s="1"/>
      <c r="O275" s="1"/>
      <c r="P275" s="1"/>
      <c r="Q275" s="1"/>
      <c r="R275" s="1"/>
      <c r="S275" s="1"/>
      <c r="T275" s="1"/>
      <c r="U275" s="1"/>
      <c r="V275" s="1"/>
      <c r="W275" s="1"/>
      <c r="X275" s="1"/>
      <c r="Y275" s="1"/>
      <c r="Z275" s="1"/>
      <c r="AA275" s="1"/>
      <c r="AB275" s="1"/>
    </row>
    <row r="276" ht="14.25" customHeight="1">
      <c r="A276" s="1"/>
      <c r="B276" s="1"/>
      <c r="C276" s="1"/>
      <c r="D276" s="2"/>
      <c r="E276" s="2"/>
      <c r="F276" s="1"/>
      <c r="G276" s="1"/>
      <c r="H276" s="3"/>
      <c r="I276" s="1"/>
      <c r="J276" s="1"/>
      <c r="K276" s="1"/>
      <c r="L276" s="1"/>
      <c r="M276" s="1"/>
      <c r="N276" s="1"/>
      <c r="O276" s="1"/>
      <c r="P276" s="1"/>
      <c r="Q276" s="1"/>
      <c r="R276" s="1"/>
      <c r="S276" s="1"/>
      <c r="T276" s="1"/>
      <c r="U276" s="1"/>
      <c r="V276" s="1"/>
      <c r="W276" s="1"/>
      <c r="X276" s="1"/>
      <c r="Y276" s="1"/>
      <c r="Z276" s="1"/>
      <c r="AA276" s="1"/>
      <c r="AB276" s="1"/>
    </row>
    <row r="277" ht="14.25" customHeight="1">
      <c r="A277" s="1"/>
      <c r="B277" s="1"/>
      <c r="C277" s="1"/>
      <c r="D277" s="2"/>
      <c r="E277" s="2"/>
      <c r="F277" s="1"/>
      <c r="G277" s="1"/>
      <c r="H277" s="3"/>
      <c r="I277" s="1"/>
      <c r="J277" s="1"/>
      <c r="K277" s="1"/>
      <c r="L277" s="1"/>
      <c r="M277" s="1"/>
      <c r="N277" s="1"/>
      <c r="O277" s="1"/>
      <c r="P277" s="1"/>
      <c r="Q277" s="1"/>
      <c r="R277" s="1"/>
      <c r="S277" s="1"/>
      <c r="T277" s="1"/>
      <c r="U277" s="1"/>
      <c r="V277" s="1"/>
      <c r="W277" s="1"/>
      <c r="X277" s="1"/>
      <c r="Y277" s="1"/>
      <c r="Z277" s="1"/>
      <c r="AA277" s="1"/>
      <c r="AB277" s="1"/>
    </row>
    <row r="278" ht="14.25" customHeight="1">
      <c r="A278" s="1"/>
      <c r="B278" s="1"/>
      <c r="C278" s="1"/>
      <c r="D278" s="2"/>
      <c r="E278" s="2"/>
      <c r="F278" s="1"/>
      <c r="G278" s="1"/>
      <c r="H278" s="3"/>
      <c r="I278" s="1"/>
      <c r="J278" s="1"/>
      <c r="K278" s="1"/>
      <c r="L278" s="1"/>
      <c r="M278" s="1"/>
      <c r="N278" s="1"/>
      <c r="O278" s="1"/>
      <c r="P278" s="1"/>
      <c r="Q278" s="1"/>
      <c r="R278" s="1"/>
      <c r="S278" s="1"/>
      <c r="T278" s="1"/>
      <c r="U278" s="1"/>
      <c r="V278" s="1"/>
      <c r="W278" s="1"/>
      <c r="X278" s="1"/>
      <c r="Y278" s="1"/>
      <c r="Z278" s="1"/>
      <c r="AA278" s="1"/>
      <c r="AB278" s="1"/>
    </row>
    <row r="279" ht="14.25" customHeight="1">
      <c r="A279" s="1"/>
      <c r="B279" s="1"/>
      <c r="C279" s="1"/>
      <c r="D279" s="2"/>
      <c r="E279" s="2"/>
      <c r="F279" s="1"/>
      <c r="G279" s="1"/>
      <c r="H279" s="3"/>
      <c r="I279" s="1"/>
      <c r="J279" s="1"/>
      <c r="K279" s="1"/>
      <c r="L279" s="1"/>
      <c r="M279" s="1"/>
      <c r="N279" s="1"/>
      <c r="O279" s="1"/>
      <c r="P279" s="1"/>
      <c r="Q279" s="1"/>
      <c r="R279" s="1"/>
      <c r="S279" s="1"/>
      <c r="T279" s="1"/>
      <c r="U279" s="1"/>
      <c r="V279" s="1"/>
      <c r="W279" s="1"/>
      <c r="X279" s="1"/>
      <c r="Y279" s="1"/>
      <c r="Z279" s="1"/>
      <c r="AA279" s="1"/>
      <c r="AB279" s="1"/>
    </row>
    <row r="280" ht="14.25" customHeight="1">
      <c r="A280" s="1"/>
      <c r="B280" s="1"/>
      <c r="C280" s="1"/>
      <c r="D280" s="2"/>
      <c r="E280" s="2"/>
      <c r="F280" s="1"/>
      <c r="G280" s="1"/>
      <c r="H280" s="3"/>
      <c r="I280" s="1"/>
      <c r="J280" s="1"/>
      <c r="K280" s="1"/>
      <c r="L280" s="1"/>
      <c r="M280" s="1"/>
      <c r="N280" s="1"/>
      <c r="O280" s="1"/>
      <c r="P280" s="1"/>
      <c r="Q280" s="1"/>
      <c r="R280" s="1"/>
      <c r="S280" s="1"/>
      <c r="T280" s="1"/>
      <c r="U280" s="1"/>
      <c r="V280" s="1"/>
      <c r="W280" s="1"/>
      <c r="X280" s="1"/>
      <c r="Y280" s="1"/>
      <c r="Z280" s="1"/>
      <c r="AA280" s="1"/>
      <c r="AB280" s="1"/>
    </row>
    <row r="281" ht="14.25" customHeight="1">
      <c r="A281" s="1"/>
      <c r="B281" s="1"/>
      <c r="C281" s="1"/>
      <c r="D281" s="2"/>
      <c r="E281" s="2"/>
      <c r="F281" s="1"/>
      <c r="G281" s="1"/>
      <c r="H281" s="3"/>
      <c r="I281" s="1"/>
      <c r="J281" s="1"/>
      <c r="K281" s="1"/>
      <c r="L281" s="1"/>
      <c r="M281" s="1"/>
      <c r="N281" s="1"/>
      <c r="O281" s="1"/>
      <c r="P281" s="1"/>
      <c r="Q281" s="1"/>
      <c r="R281" s="1"/>
      <c r="S281" s="1"/>
      <c r="T281" s="1"/>
      <c r="U281" s="1"/>
      <c r="V281" s="1"/>
      <c r="W281" s="1"/>
      <c r="X281" s="1"/>
      <c r="Y281" s="1"/>
      <c r="Z281" s="1"/>
      <c r="AA281" s="1"/>
      <c r="AB281" s="1"/>
    </row>
    <row r="282" ht="14.25" customHeight="1">
      <c r="A282" s="1"/>
      <c r="B282" s="1"/>
      <c r="C282" s="1"/>
      <c r="D282" s="2"/>
      <c r="E282" s="2"/>
      <c r="F282" s="1"/>
      <c r="G282" s="1"/>
      <c r="H282" s="3"/>
      <c r="I282" s="1"/>
      <c r="J282" s="1"/>
      <c r="K282" s="1"/>
      <c r="L282" s="1"/>
      <c r="M282" s="1"/>
      <c r="N282" s="1"/>
      <c r="O282" s="1"/>
      <c r="P282" s="1"/>
      <c r="Q282" s="1"/>
      <c r="R282" s="1"/>
      <c r="S282" s="1"/>
      <c r="T282" s="1"/>
      <c r="U282" s="1"/>
      <c r="V282" s="1"/>
      <c r="W282" s="1"/>
      <c r="X282" s="1"/>
      <c r="Y282" s="1"/>
      <c r="Z282" s="1"/>
      <c r="AA282" s="1"/>
      <c r="AB282" s="1"/>
    </row>
    <row r="283" ht="14.25" customHeight="1">
      <c r="A283" s="1"/>
      <c r="B283" s="1"/>
      <c r="C283" s="1"/>
      <c r="D283" s="2"/>
      <c r="E283" s="2"/>
      <c r="F283" s="1"/>
      <c r="G283" s="1"/>
      <c r="H283" s="3"/>
      <c r="I283" s="1"/>
      <c r="J283" s="1"/>
      <c r="K283" s="1"/>
      <c r="L283" s="1"/>
      <c r="M283" s="1"/>
      <c r="N283" s="1"/>
      <c r="O283" s="1"/>
      <c r="P283" s="1"/>
      <c r="Q283" s="1"/>
      <c r="R283" s="1"/>
      <c r="S283" s="1"/>
      <c r="T283" s="1"/>
      <c r="U283" s="1"/>
      <c r="V283" s="1"/>
      <c r="W283" s="1"/>
      <c r="X283" s="1"/>
      <c r="Y283" s="1"/>
      <c r="Z283" s="1"/>
      <c r="AA283" s="1"/>
      <c r="AB283" s="1"/>
    </row>
    <row r="284" ht="14.25" customHeight="1">
      <c r="A284" s="1"/>
      <c r="B284" s="1"/>
      <c r="C284" s="1"/>
      <c r="D284" s="2"/>
      <c r="E284" s="2"/>
      <c r="F284" s="1"/>
      <c r="G284" s="1"/>
      <c r="H284" s="3"/>
      <c r="I284" s="1"/>
      <c r="J284" s="1"/>
      <c r="K284" s="1"/>
      <c r="L284" s="1"/>
      <c r="M284" s="1"/>
      <c r="N284" s="1"/>
      <c r="O284" s="1"/>
      <c r="P284" s="1"/>
      <c r="Q284" s="1"/>
      <c r="R284" s="1"/>
      <c r="S284" s="1"/>
      <c r="T284" s="1"/>
      <c r="U284" s="1"/>
      <c r="V284" s="1"/>
      <c r="W284" s="1"/>
      <c r="X284" s="1"/>
      <c r="Y284" s="1"/>
      <c r="Z284" s="1"/>
      <c r="AA284" s="1"/>
      <c r="AB284" s="1"/>
    </row>
    <row r="285" ht="14.25" customHeight="1">
      <c r="A285" s="1"/>
      <c r="B285" s="1"/>
      <c r="C285" s="1"/>
      <c r="D285" s="2"/>
      <c r="E285" s="2"/>
      <c r="F285" s="1"/>
      <c r="G285" s="1"/>
      <c r="H285" s="3"/>
      <c r="I285" s="1"/>
      <c r="J285" s="1"/>
      <c r="K285" s="1"/>
      <c r="L285" s="1"/>
      <c r="M285" s="1"/>
      <c r="N285" s="1"/>
      <c r="O285" s="1"/>
      <c r="P285" s="1"/>
      <c r="Q285" s="1"/>
      <c r="R285" s="1"/>
      <c r="S285" s="1"/>
      <c r="T285" s="1"/>
      <c r="U285" s="1"/>
      <c r="V285" s="1"/>
      <c r="W285" s="1"/>
      <c r="X285" s="1"/>
      <c r="Y285" s="1"/>
      <c r="Z285" s="1"/>
      <c r="AA285" s="1"/>
      <c r="AB285" s="1"/>
    </row>
    <row r="286" ht="14.25" customHeight="1">
      <c r="A286" s="1"/>
      <c r="B286" s="1"/>
      <c r="C286" s="1"/>
      <c r="D286" s="2"/>
      <c r="E286" s="2"/>
      <c r="F286" s="1"/>
      <c r="G286" s="1"/>
      <c r="H286" s="3"/>
      <c r="I286" s="1"/>
      <c r="J286" s="1"/>
      <c r="K286" s="1"/>
      <c r="L286" s="1"/>
      <c r="M286" s="1"/>
      <c r="N286" s="1"/>
      <c r="O286" s="1"/>
      <c r="P286" s="1"/>
      <c r="Q286" s="1"/>
      <c r="R286" s="1"/>
      <c r="S286" s="1"/>
      <c r="T286" s="1"/>
      <c r="U286" s="1"/>
      <c r="V286" s="1"/>
      <c r="W286" s="1"/>
      <c r="X286" s="1"/>
      <c r="Y286" s="1"/>
      <c r="Z286" s="1"/>
      <c r="AA286" s="1"/>
      <c r="AB286" s="1"/>
    </row>
    <row r="287" ht="14.25" customHeight="1">
      <c r="A287" s="1"/>
      <c r="B287" s="1"/>
      <c r="C287" s="1"/>
      <c r="D287" s="2"/>
      <c r="E287" s="2"/>
      <c r="F287" s="1"/>
      <c r="G287" s="1"/>
      <c r="H287" s="3"/>
      <c r="I287" s="1"/>
      <c r="J287" s="1"/>
      <c r="K287" s="1"/>
      <c r="L287" s="1"/>
      <c r="M287" s="1"/>
      <c r="N287" s="1"/>
      <c r="O287" s="1"/>
      <c r="P287" s="1"/>
      <c r="Q287" s="1"/>
      <c r="R287" s="1"/>
      <c r="S287" s="1"/>
      <c r="T287" s="1"/>
      <c r="U287" s="1"/>
      <c r="V287" s="1"/>
      <c r="W287" s="1"/>
      <c r="X287" s="1"/>
      <c r="Y287" s="1"/>
      <c r="Z287" s="1"/>
      <c r="AA287" s="1"/>
      <c r="AB287" s="1"/>
    </row>
    <row r="288" ht="14.25" customHeight="1">
      <c r="A288" s="1"/>
      <c r="B288" s="1"/>
      <c r="C288" s="1"/>
      <c r="D288" s="2"/>
      <c r="E288" s="2"/>
      <c r="F288" s="1"/>
      <c r="G288" s="1"/>
      <c r="H288" s="3"/>
      <c r="I288" s="1"/>
      <c r="J288" s="1"/>
      <c r="K288" s="1"/>
      <c r="L288" s="1"/>
      <c r="M288" s="1"/>
      <c r="N288" s="1"/>
      <c r="O288" s="1"/>
      <c r="P288" s="1"/>
      <c r="Q288" s="1"/>
      <c r="R288" s="1"/>
      <c r="S288" s="1"/>
      <c r="T288" s="1"/>
      <c r="U288" s="1"/>
      <c r="V288" s="1"/>
      <c r="W288" s="1"/>
      <c r="X288" s="1"/>
      <c r="Y288" s="1"/>
      <c r="Z288" s="1"/>
      <c r="AA288" s="1"/>
      <c r="AB288" s="1"/>
    </row>
    <row r="289" ht="14.25" customHeight="1">
      <c r="A289" s="1"/>
      <c r="B289" s="1"/>
      <c r="C289" s="1"/>
      <c r="D289" s="2"/>
      <c r="E289" s="2"/>
      <c r="F289" s="1"/>
      <c r="G289" s="1"/>
      <c r="H289" s="3"/>
      <c r="I289" s="1"/>
      <c r="J289" s="1"/>
      <c r="K289" s="1"/>
      <c r="L289" s="1"/>
      <c r="M289" s="1"/>
      <c r="N289" s="1"/>
      <c r="O289" s="1"/>
      <c r="P289" s="1"/>
      <c r="Q289" s="1"/>
      <c r="R289" s="1"/>
      <c r="S289" s="1"/>
      <c r="T289" s="1"/>
      <c r="U289" s="1"/>
      <c r="V289" s="1"/>
      <c r="W289" s="1"/>
      <c r="X289" s="1"/>
      <c r="Y289" s="1"/>
      <c r="Z289" s="1"/>
      <c r="AA289" s="1"/>
      <c r="AB289" s="1"/>
    </row>
    <row r="290" ht="14.25" customHeight="1">
      <c r="A290" s="1"/>
      <c r="B290" s="1"/>
      <c r="C290" s="1"/>
      <c r="D290" s="2"/>
      <c r="E290" s="2"/>
      <c r="F290" s="1"/>
      <c r="G290" s="1"/>
      <c r="H290" s="3"/>
      <c r="I290" s="1"/>
      <c r="J290" s="1"/>
      <c r="K290" s="1"/>
      <c r="L290" s="1"/>
      <c r="M290" s="1"/>
      <c r="N290" s="1"/>
      <c r="O290" s="1"/>
      <c r="P290" s="1"/>
      <c r="Q290" s="1"/>
      <c r="R290" s="1"/>
      <c r="S290" s="1"/>
      <c r="T290" s="1"/>
      <c r="U290" s="1"/>
      <c r="V290" s="1"/>
      <c r="W290" s="1"/>
      <c r="X290" s="1"/>
      <c r="Y290" s="1"/>
      <c r="Z290" s="1"/>
      <c r="AA290" s="1"/>
      <c r="AB290" s="1"/>
    </row>
    <row r="291" ht="14.25" customHeight="1">
      <c r="A291" s="1"/>
      <c r="B291" s="1"/>
      <c r="C291" s="1"/>
      <c r="D291" s="2"/>
      <c r="E291" s="2"/>
      <c r="F291" s="1"/>
      <c r="G291" s="1"/>
      <c r="H291" s="3"/>
      <c r="I291" s="1"/>
      <c r="J291" s="1"/>
      <c r="K291" s="1"/>
      <c r="L291" s="1"/>
      <c r="M291" s="1"/>
      <c r="N291" s="1"/>
      <c r="O291" s="1"/>
      <c r="P291" s="1"/>
      <c r="Q291" s="1"/>
      <c r="R291" s="1"/>
      <c r="S291" s="1"/>
      <c r="T291" s="1"/>
      <c r="U291" s="1"/>
      <c r="V291" s="1"/>
      <c r="W291" s="1"/>
      <c r="X291" s="1"/>
      <c r="Y291" s="1"/>
      <c r="Z291" s="1"/>
      <c r="AA291" s="1"/>
      <c r="AB291" s="1"/>
    </row>
    <row r="292" ht="14.25" customHeight="1">
      <c r="A292" s="1"/>
      <c r="B292" s="1"/>
      <c r="C292" s="1"/>
      <c r="D292" s="2"/>
      <c r="E292" s="2"/>
      <c r="F292" s="1"/>
      <c r="G292" s="1"/>
      <c r="H292" s="3"/>
      <c r="I292" s="1"/>
      <c r="J292" s="1"/>
      <c r="K292" s="1"/>
      <c r="L292" s="1"/>
      <c r="M292" s="1"/>
      <c r="N292" s="1"/>
      <c r="O292" s="1"/>
      <c r="P292" s="1"/>
      <c r="Q292" s="1"/>
      <c r="R292" s="1"/>
      <c r="S292" s="1"/>
      <c r="T292" s="1"/>
      <c r="U292" s="1"/>
      <c r="V292" s="1"/>
      <c r="W292" s="1"/>
      <c r="X292" s="1"/>
      <c r="Y292" s="1"/>
      <c r="Z292" s="1"/>
      <c r="AA292" s="1"/>
      <c r="AB292" s="1"/>
    </row>
    <row r="293" ht="14.25" customHeight="1">
      <c r="A293" s="1"/>
      <c r="B293" s="1"/>
      <c r="C293" s="1"/>
      <c r="D293" s="2"/>
      <c r="E293" s="2"/>
      <c r="F293" s="1"/>
      <c r="G293" s="1"/>
      <c r="H293" s="3"/>
      <c r="I293" s="1"/>
      <c r="J293" s="1"/>
      <c r="K293" s="1"/>
      <c r="L293" s="1"/>
      <c r="M293" s="1"/>
      <c r="N293" s="1"/>
      <c r="O293" s="1"/>
      <c r="P293" s="1"/>
      <c r="Q293" s="1"/>
      <c r="R293" s="1"/>
      <c r="S293" s="1"/>
      <c r="T293" s="1"/>
      <c r="U293" s="1"/>
      <c r="V293" s="1"/>
      <c r="W293" s="1"/>
      <c r="X293" s="1"/>
      <c r="Y293" s="1"/>
      <c r="Z293" s="1"/>
      <c r="AA293" s="1"/>
      <c r="AB293" s="1"/>
    </row>
    <row r="294" ht="14.25" customHeight="1">
      <c r="A294" s="1"/>
      <c r="B294" s="1"/>
      <c r="C294" s="1"/>
      <c r="D294" s="2"/>
      <c r="E294" s="2"/>
      <c r="F294" s="1"/>
      <c r="G294" s="1"/>
      <c r="H294" s="3"/>
      <c r="I294" s="1"/>
      <c r="J294" s="1"/>
      <c r="K294" s="1"/>
      <c r="L294" s="1"/>
      <c r="M294" s="1"/>
      <c r="N294" s="1"/>
      <c r="O294" s="1"/>
      <c r="P294" s="1"/>
      <c r="Q294" s="1"/>
      <c r="R294" s="1"/>
      <c r="S294" s="1"/>
      <c r="T294" s="1"/>
      <c r="U294" s="1"/>
      <c r="V294" s="1"/>
      <c r="W294" s="1"/>
      <c r="X294" s="1"/>
      <c r="Y294" s="1"/>
      <c r="Z294" s="1"/>
      <c r="AA294" s="1"/>
      <c r="AB294" s="1"/>
    </row>
    <row r="295" ht="14.25" customHeight="1">
      <c r="A295" s="1"/>
      <c r="B295" s="1"/>
      <c r="C295" s="1"/>
      <c r="D295" s="2"/>
      <c r="E295" s="2"/>
      <c r="F295" s="1"/>
      <c r="G295" s="1"/>
      <c r="H295" s="3"/>
      <c r="I295" s="1"/>
      <c r="J295" s="1"/>
      <c r="K295" s="1"/>
      <c r="L295" s="1"/>
      <c r="M295" s="1"/>
      <c r="N295" s="1"/>
      <c r="O295" s="1"/>
      <c r="P295" s="1"/>
      <c r="Q295" s="1"/>
      <c r="R295" s="1"/>
      <c r="S295" s="1"/>
      <c r="T295" s="1"/>
      <c r="U295" s="1"/>
      <c r="V295" s="1"/>
      <c r="W295" s="1"/>
      <c r="X295" s="1"/>
      <c r="Y295" s="1"/>
      <c r="Z295" s="1"/>
      <c r="AA295" s="1"/>
      <c r="AB295" s="1"/>
    </row>
    <row r="296" ht="14.25" customHeight="1">
      <c r="A296" s="1"/>
      <c r="B296" s="1"/>
      <c r="C296" s="1"/>
      <c r="D296" s="2"/>
      <c r="E296" s="2"/>
      <c r="F296" s="1"/>
      <c r="G296" s="1"/>
      <c r="H296" s="3"/>
      <c r="I296" s="1"/>
      <c r="J296" s="1"/>
      <c r="K296" s="1"/>
      <c r="L296" s="1"/>
      <c r="M296" s="1"/>
      <c r="N296" s="1"/>
      <c r="O296" s="1"/>
      <c r="P296" s="1"/>
      <c r="Q296" s="1"/>
      <c r="R296" s="1"/>
      <c r="S296" s="1"/>
      <c r="T296" s="1"/>
      <c r="U296" s="1"/>
      <c r="V296" s="1"/>
      <c r="W296" s="1"/>
      <c r="X296" s="1"/>
      <c r="Y296" s="1"/>
      <c r="Z296" s="1"/>
      <c r="AA296" s="1"/>
      <c r="AB296" s="1"/>
    </row>
    <row r="297" ht="14.25" customHeight="1">
      <c r="A297" s="1"/>
      <c r="B297" s="1"/>
      <c r="C297" s="1"/>
      <c r="D297" s="2"/>
      <c r="E297" s="2"/>
      <c r="F297" s="1"/>
      <c r="G297" s="1"/>
      <c r="H297" s="3"/>
      <c r="I297" s="1"/>
      <c r="J297" s="1"/>
      <c r="K297" s="1"/>
      <c r="L297" s="1"/>
      <c r="M297" s="1"/>
      <c r="N297" s="1"/>
      <c r="O297" s="1"/>
      <c r="P297" s="1"/>
      <c r="Q297" s="1"/>
      <c r="R297" s="1"/>
      <c r="S297" s="1"/>
      <c r="T297" s="1"/>
      <c r="U297" s="1"/>
      <c r="V297" s="1"/>
      <c r="W297" s="1"/>
      <c r="X297" s="1"/>
      <c r="Y297" s="1"/>
      <c r="Z297" s="1"/>
      <c r="AA297" s="1"/>
      <c r="AB297" s="1"/>
    </row>
    <row r="298" ht="14.25" customHeight="1">
      <c r="A298" s="1"/>
      <c r="B298" s="1"/>
      <c r="C298" s="1"/>
      <c r="D298" s="2"/>
      <c r="E298" s="2"/>
      <c r="F298" s="1"/>
      <c r="G298" s="1"/>
      <c r="H298" s="3"/>
      <c r="I298" s="1"/>
      <c r="J298" s="1"/>
      <c r="K298" s="1"/>
      <c r="L298" s="1"/>
      <c r="M298" s="1"/>
      <c r="N298" s="1"/>
      <c r="O298" s="1"/>
      <c r="P298" s="1"/>
      <c r="Q298" s="1"/>
      <c r="R298" s="1"/>
      <c r="S298" s="1"/>
      <c r="T298" s="1"/>
      <c r="U298" s="1"/>
      <c r="V298" s="1"/>
      <c r="W298" s="1"/>
      <c r="X298" s="1"/>
      <c r="Y298" s="1"/>
      <c r="Z298" s="1"/>
      <c r="AA298" s="1"/>
      <c r="AB298" s="1"/>
    </row>
    <row r="299" ht="14.25" customHeight="1">
      <c r="A299" s="1"/>
      <c r="B299" s="1"/>
      <c r="C299" s="1"/>
      <c r="D299" s="2"/>
      <c r="E299" s="2"/>
      <c r="F299" s="1"/>
      <c r="G299" s="1"/>
      <c r="H299" s="3"/>
      <c r="I299" s="1"/>
      <c r="J299" s="1"/>
      <c r="K299" s="1"/>
      <c r="L299" s="1"/>
      <c r="M299" s="1"/>
      <c r="N299" s="1"/>
      <c r="O299" s="1"/>
      <c r="P299" s="1"/>
      <c r="Q299" s="1"/>
      <c r="R299" s="1"/>
      <c r="S299" s="1"/>
      <c r="T299" s="1"/>
      <c r="U299" s="1"/>
      <c r="V299" s="1"/>
      <c r="W299" s="1"/>
      <c r="X299" s="1"/>
      <c r="Y299" s="1"/>
      <c r="Z299" s="1"/>
      <c r="AA299" s="1"/>
      <c r="AB299" s="1"/>
    </row>
    <row r="300" ht="14.25" customHeight="1">
      <c r="A300" s="1"/>
      <c r="B300" s="1"/>
      <c r="C300" s="1"/>
      <c r="D300" s="2"/>
      <c r="E300" s="2"/>
      <c r="F300" s="1"/>
      <c r="G300" s="1"/>
      <c r="H300" s="3"/>
      <c r="I300" s="1"/>
      <c r="J300" s="1"/>
      <c r="K300" s="1"/>
      <c r="L300" s="1"/>
      <c r="M300" s="1"/>
      <c r="N300" s="1"/>
      <c r="O300" s="1"/>
      <c r="P300" s="1"/>
      <c r="Q300" s="1"/>
      <c r="R300" s="1"/>
      <c r="S300" s="1"/>
      <c r="T300" s="1"/>
      <c r="U300" s="1"/>
      <c r="V300" s="1"/>
      <c r="W300" s="1"/>
      <c r="X300" s="1"/>
      <c r="Y300" s="1"/>
      <c r="Z300" s="1"/>
      <c r="AA300" s="1"/>
      <c r="AB300" s="1"/>
    </row>
    <row r="301" ht="14.25" customHeight="1">
      <c r="A301" s="1"/>
      <c r="B301" s="1"/>
      <c r="C301" s="1"/>
      <c r="D301" s="2"/>
      <c r="E301" s="2"/>
      <c r="F301" s="1"/>
      <c r="G301" s="1"/>
      <c r="H301" s="3"/>
      <c r="I301" s="1"/>
      <c r="J301" s="1"/>
      <c r="K301" s="1"/>
      <c r="L301" s="1"/>
      <c r="M301" s="1"/>
      <c r="N301" s="1"/>
      <c r="O301" s="1"/>
      <c r="P301" s="1"/>
      <c r="Q301" s="1"/>
      <c r="R301" s="1"/>
      <c r="S301" s="1"/>
      <c r="T301" s="1"/>
      <c r="U301" s="1"/>
      <c r="V301" s="1"/>
      <c r="W301" s="1"/>
      <c r="X301" s="1"/>
      <c r="Y301" s="1"/>
      <c r="Z301" s="1"/>
      <c r="AA301" s="1"/>
      <c r="AB301" s="1"/>
    </row>
    <row r="302" ht="14.25" customHeight="1">
      <c r="A302" s="1"/>
      <c r="B302" s="1"/>
      <c r="C302" s="1"/>
      <c r="D302" s="2"/>
      <c r="E302" s="2"/>
      <c r="F302" s="1"/>
      <c r="G302" s="1"/>
      <c r="H302" s="3"/>
      <c r="I302" s="1"/>
      <c r="J302" s="1"/>
      <c r="K302" s="1"/>
      <c r="L302" s="1"/>
      <c r="M302" s="1"/>
      <c r="N302" s="1"/>
      <c r="O302" s="1"/>
      <c r="P302" s="1"/>
      <c r="Q302" s="1"/>
      <c r="R302" s="1"/>
      <c r="S302" s="1"/>
      <c r="T302" s="1"/>
      <c r="U302" s="1"/>
      <c r="V302" s="1"/>
      <c r="W302" s="1"/>
      <c r="X302" s="1"/>
      <c r="Y302" s="1"/>
      <c r="Z302" s="1"/>
      <c r="AA302" s="1"/>
      <c r="AB302" s="1"/>
    </row>
    <row r="303" ht="14.25" customHeight="1">
      <c r="A303" s="1"/>
      <c r="B303" s="1"/>
      <c r="C303" s="1"/>
      <c r="D303" s="2"/>
      <c r="E303" s="2"/>
      <c r="F303" s="1"/>
      <c r="G303" s="1"/>
      <c r="H303" s="3"/>
      <c r="I303" s="1"/>
      <c r="J303" s="1"/>
      <c r="K303" s="1"/>
      <c r="L303" s="1"/>
      <c r="M303" s="1"/>
      <c r="N303" s="1"/>
      <c r="O303" s="1"/>
      <c r="P303" s="1"/>
      <c r="Q303" s="1"/>
      <c r="R303" s="1"/>
      <c r="S303" s="1"/>
      <c r="T303" s="1"/>
      <c r="U303" s="1"/>
      <c r="V303" s="1"/>
      <c r="W303" s="1"/>
      <c r="X303" s="1"/>
      <c r="Y303" s="1"/>
      <c r="Z303" s="1"/>
      <c r="AA303" s="1"/>
      <c r="AB303" s="1"/>
    </row>
    <row r="304" ht="14.25" customHeight="1">
      <c r="A304" s="1"/>
      <c r="B304" s="1"/>
      <c r="C304" s="1"/>
      <c r="D304" s="2"/>
      <c r="E304" s="2"/>
      <c r="F304" s="1"/>
      <c r="G304" s="1"/>
      <c r="H304" s="3"/>
      <c r="I304" s="1"/>
      <c r="J304" s="1"/>
      <c r="K304" s="1"/>
      <c r="L304" s="1"/>
      <c r="M304" s="1"/>
      <c r="N304" s="1"/>
      <c r="O304" s="1"/>
      <c r="P304" s="1"/>
      <c r="Q304" s="1"/>
      <c r="R304" s="1"/>
      <c r="S304" s="1"/>
      <c r="T304" s="1"/>
      <c r="U304" s="1"/>
      <c r="V304" s="1"/>
      <c r="W304" s="1"/>
      <c r="X304" s="1"/>
      <c r="Y304" s="1"/>
      <c r="Z304" s="1"/>
      <c r="AA304" s="1"/>
      <c r="AB304" s="1"/>
    </row>
    <row r="305" ht="14.25" customHeight="1">
      <c r="A305" s="1"/>
      <c r="B305" s="1"/>
      <c r="C305" s="1"/>
      <c r="D305" s="2"/>
      <c r="E305" s="2"/>
      <c r="F305" s="1"/>
      <c r="G305" s="1"/>
      <c r="H305" s="3"/>
      <c r="I305" s="1"/>
      <c r="J305" s="1"/>
      <c r="K305" s="1"/>
      <c r="L305" s="1"/>
      <c r="M305" s="1"/>
      <c r="N305" s="1"/>
      <c r="O305" s="1"/>
      <c r="P305" s="1"/>
      <c r="Q305" s="1"/>
      <c r="R305" s="1"/>
      <c r="S305" s="1"/>
      <c r="T305" s="1"/>
      <c r="U305" s="1"/>
      <c r="V305" s="1"/>
      <c r="W305" s="1"/>
      <c r="X305" s="1"/>
      <c r="Y305" s="1"/>
      <c r="Z305" s="1"/>
      <c r="AA305" s="1"/>
      <c r="AB305" s="1"/>
    </row>
    <row r="306" ht="14.25" customHeight="1">
      <c r="A306" s="1"/>
      <c r="B306" s="1"/>
      <c r="C306" s="1"/>
      <c r="D306" s="2"/>
      <c r="E306" s="2"/>
      <c r="F306" s="1"/>
      <c r="G306" s="1"/>
      <c r="H306" s="3"/>
      <c r="I306" s="1"/>
      <c r="J306" s="1"/>
      <c r="K306" s="1"/>
      <c r="L306" s="1"/>
      <c r="M306" s="1"/>
      <c r="N306" s="1"/>
      <c r="O306" s="1"/>
      <c r="P306" s="1"/>
      <c r="Q306" s="1"/>
      <c r="R306" s="1"/>
      <c r="S306" s="1"/>
      <c r="T306" s="1"/>
      <c r="U306" s="1"/>
      <c r="V306" s="1"/>
      <c r="W306" s="1"/>
      <c r="X306" s="1"/>
      <c r="Y306" s="1"/>
      <c r="Z306" s="1"/>
      <c r="AA306" s="1"/>
      <c r="AB306" s="1"/>
    </row>
    <row r="307" ht="14.25" customHeight="1">
      <c r="A307" s="1"/>
      <c r="B307" s="1"/>
      <c r="C307" s="1"/>
      <c r="D307" s="2"/>
      <c r="E307" s="2"/>
      <c r="F307" s="1"/>
      <c r="G307" s="1"/>
      <c r="H307" s="3"/>
      <c r="I307" s="1"/>
      <c r="J307" s="1"/>
      <c r="K307" s="1"/>
      <c r="L307" s="1"/>
      <c r="M307" s="1"/>
      <c r="N307" s="1"/>
      <c r="O307" s="1"/>
      <c r="P307" s="1"/>
      <c r="Q307" s="1"/>
      <c r="R307" s="1"/>
      <c r="S307" s="1"/>
      <c r="T307" s="1"/>
      <c r="U307" s="1"/>
      <c r="V307" s="1"/>
      <c r="W307" s="1"/>
      <c r="X307" s="1"/>
      <c r="Y307" s="1"/>
      <c r="Z307" s="1"/>
      <c r="AA307" s="1"/>
      <c r="AB307" s="1"/>
    </row>
    <row r="308" ht="14.25" customHeight="1">
      <c r="A308" s="1"/>
      <c r="B308" s="1"/>
      <c r="C308" s="1"/>
      <c r="D308" s="2"/>
      <c r="E308" s="2"/>
      <c r="F308" s="1"/>
      <c r="G308" s="1"/>
      <c r="H308" s="3"/>
      <c r="I308" s="1"/>
      <c r="J308" s="1"/>
      <c r="K308" s="1"/>
      <c r="L308" s="1"/>
      <c r="M308" s="1"/>
      <c r="N308" s="1"/>
      <c r="O308" s="1"/>
      <c r="P308" s="1"/>
      <c r="Q308" s="1"/>
      <c r="R308" s="1"/>
      <c r="S308" s="1"/>
      <c r="T308" s="1"/>
      <c r="U308" s="1"/>
      <c r="V308" s="1"/>
      <c r="W308" s="1"/>
      <c r="X308" s="1"/>
      <c r="Y308" s="1"/>
      <c r="Z308" s="1"/>
      <c r="AA308" s="1"/>
      <c r="AB308" s="1"/>
    </row>
    <row r="309" ht="14.25" customHeight="1">
      <c r="A309" s="1"/>
      <c r="B309" s="1"/>
      <c r="C309" s="1"/>
      <c r="D309" s="2"/>
      <c r="E309" s="2"/>
      <c r="F309" s="1"/>
      <c r="G309" s="1"/>
      <c r="H309" s="3"/>
      <c r="I309" s="1"/>
      <c r="J309" s="1"/>
      <c r="K309" s="1"/>
      <c r="L309" s="1"/>
      <c r="M309" s="1"/>
      <c r="N309" s="1"/>
      <c r="O309" s="1"/>
      <c r="P309" s="1"/>
      <c r="Q309" s="1"/>
      <c r="R309" s="1"/>
      <c r="S309" s="1"/>
      <c r="T309" s="1"/>
      <c r="U309" s="1"/>
      <c r="V309" s="1"/>
      <c r="W309" s="1"/>
      <c r="X309" s="1"/>
      <c r="Y309" s="1"/>
      <c r="Z309" s="1"/>
      <c r="AA309" s="1"/>
      <c r="AB309" s="1"/>
    </row>
    <row r="310" ht="14.25" customHeight="1">
      <c r="A310" s="1"/>
      <c r="B310" s="1"/>
      <c r="C310" s="1"/>
      <c r="D310" s="2"/>
      <c r="E310" s="2"/>
      <c r="F310" s="1"/>
      <c r="G310" s="1"/>
      <c r="H310" s="3"/>
      <c r="I310" s="1"/>
      <c r="J310" s="1"/>
      <c r="K310" s="1"/>
      <c r="L310" s="1"/>
      <c r="M310" s="1"/>
      <c r="N310" s="1"/>
      <c r="O310" s="1"/>
      <c r="P310" s="1"/>
      <c r="Q310" s="1"/>
      <c r="R310" s="1"/>
      <c r="S310" s="1"/>
      <c r="T310" s="1"/>
      <c r="U310" s="1"/>
      <c r="V310" s="1"/>
      <c r="W310" s="1"/>
      <c r="X310" s="1"/>
      <c r="Y310" s="1"/>
      <c r="Z310" s="1"/>
      <c r="AA310" s="1"/>
      <c r="AB310" s="1"/>
    </row>
    <row r="311" ht="14.25" customHeight="1">
      <c r="A311" s="1"/>
      <c r="B311" s="1"/>
      <c r="C311" s="1"/>
      <c r="D311" s="2"/>
      <c r="E311" s="2"/>
      <c r="F311" s="1"/>
      <c r="G311" s="1"/>
      <c r="H311" s="3"/>
      <c r="I311" s="1"/>
      <c r="J311" s="1"/>
      <c r="K311" s="1"/>
      <c r="L311" s="1"/>
      <c r="M311" s="1"/>
      <c r="N311" s="1"/>
      <c r="O311" s="1"/>
      <c r="P311" s="1"/>
      <c r="Q311" s="1"/>
      <c r="R311" s="1"/>
      <c r="S311" s="1"/>
      <c r="T311" s="1"/>
      <c r="U311" s="1"/>
      <c r="V311" s="1"/>
      <c r="W311" s="1"/>
      <c r="X311" s="1"/>
      <c r="Y311" s="1"/>
      <c r="Z311" s="1"/>
      <c r="AA311" s="1"/>
      <c r="AB311" s="1"/>
    </row>
    <row r="312" ht="14.25" customHeight="1">
      <c r="A312" s="1"/>
      <c r="B312" s="1"/>
      <c r="C312" s="1"/>
      <c r="D312" s="2"/>
      <c r="E312" s="2"/>
      <c r="F312" s="1"/>
      <c r="G312" s="1"/>
      <c r="H312" s="3"/>
      <c r="I312" s="1"/>
      <c r="J312" s="1"/>
      <c r="K312" s="1"/>
      <c r="L312" s="1"/>
      <c r="M312" s="1"/>
      <c r="N312" s="1"/>
      <c r="O312" s="1"/>
      <c r="P312" s="1"/>
      <c r="Q312" s="1"/>
      <c r="R312" s="1"/>
      <c r="S312" s="1"/>
      <c r="T312" s="1"/>
      <c r="U312" s="1"/>
      <c r="V312" s="1"/>
      <c r="W312" s="1"/>
      <c r="X312" s="1"/>
      <c r="Y312" s="1"/>
      <c r="Z312" s="1"/>
      <c r="AA312" s="1"/>
      <c r="AB312" s="1"/>
    </row>
    <row r="313" ht="14.25" customHeight="1">
      <c r="A313" s="1"/>
      <c r="B313" s="1"/>
      <c r="C313" s="1"/>
      <c r="D313" s="2"/>
      <c r="E313" s="2"/>
      <c r="F313" s="1"/>
      <c r="G313" s="1"/>
      <c r="H313" s="3"/>
      <c r="I313" s="1"/>
      <c r="J313" s="1"/>
      <c r="K313" s="1"/>
      <c r="L313" s="1"/>
      <c r="M313" s="1"/>
      <c r="N313" s="1"/>
      <c r="O313" s="1"/>
      <c r="P313" s="1"/>
      <c r="Q313" s="1"/>
      <c r="R313" s="1"/>
      <c r="S313" s="1"/>
      <c r="T313" s="1"/>
      <c r="U313" s="1"/>
      <c r="V313" s="1"/>
      <c r="W313" s="1"/>
      <c r="X313" s="1"/>
      <c r="Y313" s="1"/>
      <c r="Z313" s="1"/>
      <c r="AA313" s="1"/>
      <c r="AB313" s="1"/>
    </row>
    <row r="314" ht="14.25" customHeight="1">
      <c r="A314" s="1"/>
      <c r="B314" s="1"/>
      <c r="C314" s="1"/>
      <c r="D314" s="2"/>
      <c r="E314" s="2"/>
      <c r="F314" s="1"/>
      <c r="G314" s="1"/>
      <c r="H314" s="3"/>
      <c r="I314" s="1"/>
      <c r="J314" s="1"/>
      <c r="K314" s="1"/>
      <c r="L314" s="1"/>
      <c r="M314" s="1"/>
      <c r="N314" s="1"/>
      <c r="O314" s="1"/>
      <c r="P314" s="1"/>
      <c r="Q314" s="1"/>
      <c r="R314" s="1"/>
      <c r="S314" s="1"/>
      <c r="T314" s="1"/>
      <c r="U314" s="1"/>
      <c r="V314" s="1"/>
      <c r="W314" s="1"/>
      <c r="X314" s="1"/>
      <c r="Y314" s="1"/>
      <c r="Z314" s="1"/>
      <c r="AA314" s="1"/>
      <c r="AB314" s="1"/>
    </row>
    <row r="315" ht="14.25" customHeight="1">
      <c r="A315" s="1"/>
      <c r="B315" s="1"/>
      <c r="C315" s="1"/>
      <c r="D315" s="2"/>
      <c r="E315" s="2"/>
      <c r="F315" s="1"/>
      <c r="G315" s="1"/>
      <c r="H315" s="3"/>
      <c r="I315" s="1"/>
      <c r="J315" s="1"/>
      <c r="K315" s="1"/>
      <c r="L315" s="1"/>
      <c r="M315" s="1"/>
      <c r="N315" s="1"/>
      <c r="O315" s="1"/>
      <c r="P315" s="1"/>
      <c r="Q315" s="1"/>
      <c r="R315" s="1"/>
      <c r="S315" s="1"/>
      <c r="T315" s="1"/>
      <c r="U315" s="1"/>
      <c r="V315" s="1"/>
      <c r="W315" s="1"/>
      <c r="X315" s="1"/>
      <c r="Y315" s="1"/>
      <c r="Z315" s="1"/>
      <c r="AA315" s="1"/>
      <c r="AB315" s="1"/>
    </row>
    <row r="316" ht="14.25" customHeight="1">
      <c r="A316" s="1"/>
      <c r="B316" s="1"/>
      <c r="C316" s="1"/>
      <c r="D316" s="2"/>
      <c r="E316" s="2"/>
      <c r="F316" s="1"/>
      <c r="G316" s="1"/>
      <c r="H316" s="3"/>
      <c r="I316" s="1"/>
      <c r="J316" s="1"/>
      <c r="K316" s="1"/>
      <c r="L316" s="1"/>
      <c r="M316" s="1"/>
      <c r="N316" s="1"/>
      <c r="O316" s="1"/>
      <c r="P316" s="1"/>
      <c r="Q316" s="1"/>
      <c r="R316" s="1"/>
      <c r="S316" s="1"/>
      <c r="T316" s="1"/>
      <c r="U316" s="1"/>
      <c r="V316" s="1"/>
      <c r="W316" s="1"/>
      <c r="X316" s="1"/>
      <c r="Y316" s="1"/>
      <c r="Z316" s="1"/>
      <c r="AA316" s="1"/>
      <c r="AB316" s="1"/>
    </row>
    <row r="317" ht="14.25" customHeight="1">
      <c r="A317" s="1"/>
      <c r="B317" s="1"/>
      <c r="C317" s="1"/>
      <c r="D317" s="2"/>
      <c r="E317" s="2"/>
      <c r="F317" s="1"/>
      <c r="G317" s="1"/>
      <c r="H317" s="3"/>
      <c r="I317" s="1"/>
      <c r="J317" s="1"/>
      <c r="K317" s="1"/>
      <c r="L317" s="1"/>
      <c r="M317" s="1"/>
      <c r="N317" s="1"/>
      <c r="O317" s="1"/>
      <c r="P317" s="1"/>
      <c r="Q317" s="1"/>
      <c r="R317" s="1"/>
      <c r="S317" s="1"/>
      <c r="T317" s="1"/>
      <c r="U317" s="1"/>
      <c r="V317" s="1"/>
      <c r="W317" s="1"/>
      <c r="X317" s="1"/>
      <c r="Y317" s="1"/>
      <c r="Z317" s="1"/>
      <c r="AA317" s="1"/>
      <c r="AB317" s="1"/>
    </row>
    <row r="318" ht="14.25" customHeight="1">
      <c r="A318" s="1"/>
      <c r="B318" s="1"/>
      <c r="C318" s="1"/>
      <c r="D318" s="2"/>
      <c r="E318" s="2"/>
      <c r="F318" s="1"/>
      <c r="G318" s="1"/>
      <c r="H318" s="3"/>
      <c r="I318" s="1"/>
      <c r="J318" s="1"/>
      <c r="K318" s="1"/>
      <c r="L318" s="1"/>
      <c r="M318" s="1"/>
      <c r="N318" s="1"/>
      <c r="O318" s="1"/>
      <c r="P318" s="1"/>
      <c r="Q318" s="1"/>
      <c r="R318" s="1"/>
      <c r="S318" s="1"/>
      <c r="T318" s="1"/>
      <c r="U318" s="1"/>
      <c r="V318" s="1"/>
      <c r="W318" s="1"/>
      <c r="X318" s="1"/>
      <c r="Y318" s="1"/>
      <c r="Z318" s="1"/>
      <c r="AA318" s="1"/>
      <c r="AB318" s="1"/>
    </row>
    <row r="319" ht="14.25" customHeight="1">
      <c r="A319" s="1"/>
      <c r="B319" s="1"/>
      <c r="C319" s="1"/>
      <c r="D319" s="2"/>
      <c r="E319" s="2"/>
      <c r="F319" s="1"/>
      <c r="G319" s="1"/>
      <c r="H319" s="3"/>
      <c r="I319" s="1"/>
      <c r="J319" s="1"/>
      <c r="K319" s="1"/>
      <c r="L319" s="1"/>
      <c r="M319" s="1"/>
      <c r="N319" s="1"/>
      <c r="O319" s="1"/>
      <c r="P319" s="1"/>
      <c r="Q319" s="1"/>
      <c r="R319" s="1"/>
      <c r="S319" s="1"/>
      <c r="T319" s="1"/>
      <c r="U319" s="1"/>
      <c r="V319" s="1"/>
      <c r="W319" s="1"/>
      <c r="X319" s="1"/>
      <c r="Y319" s="1"/>
      <c r="Z319" s="1"/>
      <c r="AA319" s="1"/>
      <c r="AB319" s="1"/>
    </row>
    <row r="320" ht="14.25" customHeight="1">
      <c r="A320" s="1"/>
      <c r="B320" s="1"/>
      <c r="C320" s="1"/>
      <c r="D320" s="2"/>
      <c r="E320" s="2"/>
      <c r="F320" s="1"/>
      <c r="G320" s="1"/>
      <c r="H320" s="3"/>
      <c r="I320" s="1"/>
      <c r="J320" s="1"/>
      <c r="K320" s="1"/>
      <c r="L320" s="1"/>
      <c r="M320" s="1"/>
      <c r="N320" s="1"/>
      <c r="O320" s="1"/>
      <c r="P320" s="1"/>
      <c r="Q320" s="1"/>
      <c r="R320" s="1"/>
      <c r="S320" s="1"/>
      <c r="T320" s="1"/>
      <c r="U320" s="1"/>
      <c r="V320" s="1"/>
      <c r="W320" s="1"/>
      <c r="X320" s="1"/>
      <c r="Y320" s="1"/>
      <c r="Z320" s="1"/>
      <c r="AA320" s="1"/>
      <c r="AB320" s="1"/>
    </row>
    <row r="321" ht="14.25" customHeight="1">
      <c r="A321" s="1"/>
      <c r="B321" s="1"/>
      <c r="C321" s="1"/>
      <c r="D321" s="2"/>
      <c r="E321" s="2"/>
      <c r="F321" s="1"/>
      <c r="G321" s="1"/>
      <c r="H321" s="3"/>
      <c r="I321" s="1"/>
      <c r="J321" s="1"/>
      <c r="K321" s="1"/>
      <c r="L321" s="1"/>
      <c r="M321" s="1"/>
      <c r="N321" s="1"/>
      <c r="O321" s="1"/>
      <c r="P321" s="1"/>
      <c r="Q321" s="1"/>
      <c r="R321" s="1"/>
      <c r="S321" s="1"/>
      <c r="T321" s="1"/>
      <c r="U321" s="1"/>
      <c r="V321" s="1"/>
      <c r="W321" s="1"/>
      <c r="X321" s="1"/>
      <c r="Y321" s="1"/>
      <c r="Z321" s="1"/>
      <c r="AA321" s="1"/>
      <c r="AB321" s="1"/>
    </row>
    <row r="322" ht="14.25" customHeight="1">
      <c r="A322" s="1"/>
      <c r="B322" s="1"/>
      <c r="C322" s="1"/>
      <c r="D322" s="2"/>
      <c r="E322" s="2"/>
      <c r="F322" s="1"/>
      <c r="G322" s="1"/>
      <c r="H322" s="3"/>
      <c r="I322" s="1"/>
      <c r="J322" s="1"/>
      <c r="K322" s="1"/>
      <c r="L322" s="1"/>
      <c r="M322" s="1"/>
      <c r="N322" s="1"/>
      <c r="O322" s="1"/>
      <c r="P322" s="1"/>
      <c r="Q322" s="1"/>
      <c r="R322" s="1"/>
      <c r="S322" s="1"/>
      <c r="T322" s="1"/>
      <c r="U322" s="1"/>
      <c r="V322" s="1"/>
      <c r="W322" s="1"/>
      <c r="X322" s="1"/>
      <c r="Y322" s="1"/>
      <c r="Z322" s="1"/>
      <c r="AA322" s="1"/>
      <c r="AB322" s="1"/>
    </row>
    <row r="323" ht="14.25" customHeight="1">
      <c r="A323" s="1"/>
      <c r="B323" s="1"/>
      <c r="C323" s="1"/>
      <c r="D323" s="2"/>
      <c r="E323" s="2"/>
      <c r="F323" s="1"/>
      <c r="G323" s="1"/>
      <c r="H323" s="3"/>
      <c r="I323" s="1"/>
      <c r="J323" s="1"/>
      <c r="K323" s="1"/>
      <c r="L323" s="1"/>
      <c r="M323" s="1"/>
      <c r="N323" s="1"/>
      <c r="O323" s="1"/>
      <c r="P323" s="1"/>
      <c r="Q323" s="1"/>
      <c r="R323" s="1"/>
      <c r="S323" s="1"/>
      <c r="T323" s="1"/>
      <c r="U323" s="1"/>
      <c r="V323" s="1"/>
      <c r="W323" s="1"/>
      <c r="X323" s="1"/>
      <c r="Y323" s="1"/>
      <c r="Z323" s="1"/>
      <c r="AA323" s="1"/>
      <c r="AB323" s="1"/>
    </row>
    <row r="324" ht="14.25" customHeight="1">
      <c r="A324" s="1"/>
      <c r="B324" s="1"/>
      <c r="C324" s="1"/>
      <c r="D324" s="2"/>
      <c r="E324" s="2"/>
      <c r="F324" s="1"/>
      <c r="G324" s="1"/>
      <c r="H324" s="3"/>
      <c r="I324" s="1"/>
      <c r="J324" s="1"/>
      <c r="K324" s="1"/>
      <c r="L324" s="1"/>
      <c r="M324" s="1"/>
      <c r="N324" s="1"/>
      <c r="O324" s="1"/>
      <c r="P324" s="1"/>
      <c r="Q324" s="1"/>
      <c r="R324" s="1"/>
      <c r="S324" s="1"/>
      <c r="T324" s="1"/>
      <c r="U324" s="1"/>
      <c r="V324" s="1"/>
      <c r="W324" s="1"/>
      <c r="X324" s="1"/>
      <c r="Y324" s="1"/>
      <c r="Z324" s="1"/>
      <c r="AA324" s="1"/>
      <c r="AB324" s="1"/>
    </row>
    <row r="325" ht="14.25" customHeight="1">
      <c r="A325" s="1"/>
      <c r="B325" s="1"/>
      <c r="C325" s="1"/>
      <c r="D325" s="2"/>
      <c r="E325" s="2"/>
      <c r="F325" s="1"/>
      <c r="G325" s="1"/>
      <c r="H325" s="3"/>
      <c r="I325" s="1"/>
      <c r="J325" s="1"/>
      <c r="K325" s="1"/>
      <c r="L325" s="1"/>
      <c r="M325" s="1"/>
      <c r="N325" s="1"/>
      <c r="O325" s="1"/>
      <c r="P325" s="1"/>
      <c r="Q325" s="1"/>
      <c r="R325" s="1"/>
      <c r="S325" s="1"/>
      <c r="T325" s="1"/>
      <c r="U325" s="1"/>
      <c r="V325" s="1"/>
      <c r="W325" s="1"/>
      <c r="X325" s="1"/>
      <c r="Y325" s="1"/>
      <c r="Z325" s="1"/>
      <c r="AA325" s="1"/>
      <c r="AB325" s="1"/>
    </row>
    <row r="326" ht="14.25" customHeight="1">
      <c r="A326" s="1"/>
      <c r="B326" s="1"/>
      <c r="C326" s="1"/>
      <c r="D326" s="2"/>
      <c r="E326" s="2"/>
      <c r="F326" s="1"/>
      <c r="G326" s="1"/>
      <c r="H326" s="3"/>
      <c r="I326" s="1"/>
      <c r="J326" s="1"/>
      <c r="K326" s="1"/>
      <c r="L326" s="1"/>
      <c r="M326" s="1"/>
      <c r="N326" s="1"/>
      <c r="O326" s="1"/>
      <c r="P326" s="1"/>
      <c r="Q326" s="1"/>
      <c r="R326" s="1"/>
      <c r="S326" s="1"/>
      <c r="T326" s="1"/>
      <c r="U326" s="1"/>
      <c r="V326" s="1"/>
      <c r="W326" s="1"/>
      <c r="X326" s="1"/>
      <c r="Y326" s="1"/>
      <c r="Z326" s="1"/>
      <c r="AA326" s="1"/>
      <c r="AB326" s="1"/>
    </row>
    <row r="327" ht="14.25" customHeight="1">
      <c r="A327" s="1"/>
      <c r="B327" s="1"/>
      <c r="C327" s="1"/>
      <c r="D327" s="2"/>
      <c r="E327" s="2"/>
      <c r="F327" s="1"/>
      <c r="G327" s="1"/>
      <c r="H327" s="3"/>
      <c r="I327" s="1"/>
      <c r="J327" s="1"/>
      <c r="K327" s="1"/>
      <c r="L327" s="1"/>
      <c r="M327" s="1"/>
      <c r="N327" s="1"/>
      <c r="O327" s="1"/>
      <c r="P327" s="1"/>
      <c r="Q327" s="1"/>
      <c r="R327" s="1"/>
      <c r="S327" s="1"/>
      <c r="T327" s="1"/>
      <c r="U327" s="1"/>
      <c r="V327" s="1"/>
      <c r="W327" s="1"/>
      <c r="X327" s="1"/>
      <c r="Y327" s="1"/>
      <c r="Z327" s="1"/>
      <c r="AA327" s="1"/>
      <c r="AB327" s="1"/>
    </row>
    <row r="328" ht="14.25" customHeight="1">
      <c r="A328" s="1"/>
      <c r="B328" s="1"/>
      <c r="C328" s="1"/>
      <c r="D328" s="2"/>
      <c r="E328" s="2"/>
      <c r="F328" s="1"/>
      <c r="G328" s="1"/>
      <c r="H328" s="3"/>
      <c r="I328" s="1"/>
      <c r="J328" s="1"/>
      <c r="K328" s="1"/>
      <c r="L328" s="1"/>
      <c r="M328" s="1"/>
      <c r="N328" s="1"/>
      <c r="O328" s="1"/>
      <c r="P328" s="1"/>
      <c r="Q328" s="1"/>
      <c r="R328" s="1"/>
      <c r="S328" s="1"/>
      <c r="T328" s="1"/>
      <c r="U328" s="1"/>
      <c r="V328" s="1"/>
      <c r="W328" s="1"/>
      <c r="X328" s="1"/>
      <c r="Y328" s="1"/>
      <c r="Z328" s="1"/>
      <c r="AA328" s="1"/>
      <c r="AB328" s="1"/>
    </row>
    <row r="329" ht="14.25" customHeight="1">
      <c r="A329" s="1"/>
      <c r="B329" s="1"/>
      <c r="C329" s="1"/>
      <c r="D329" s="2"/>
      <c r="E329" s="2"/>
      <c r="F329" s="1"/>
      <c r="G329" s="1"/>
      <c r="H329" s="3"/>
      <c r="I329" s="1"/>
      <c r="J329" s="1"/>
      <c r="K329" s="1"/>
      <c r="L329" s="1"/>
      <c r="M329" s="1"/>
      <c r="N329" s="1"/>
      <c r="O329" s="1"/>
      <c r="P329" s="1"/>
      <c r="Q329" s="1"/>
      <c r="R329" s="1"/>
      <c r="S329" s="1"/>
      <c r="T329" s="1"/>
      <c r="U329" s="1"/>
      <c r="V329" s="1"/>
      <c r="W329" s="1"/>
      <c r="X329" s="1"/>
      <c r="Y329" s="1"/>
      <c r="Z329" s="1"/>
      <c r="AA329" s="1"/>
      <c r="AB329" s="1"/>
    </row>
    <row r="330" ht="14.25" customHeight="1">
      <c r="A330" s="1"/>
      <c r="B330" s="1"/>
      <c r="C330" s="1"/>
      <c r="D330" s="2"/>
      <c r="E330" s="2"/>
      <c r="F330" s="1"/>
      <c r="G330" s="1"/>
      <c r="H330" s="3"/>
      <c r="I330" s="1"/>
      <c r="J330" s="1"/>
      <c r="K330" s="1"/>
      <c r="L330" s="1"/>
      <c r="M330" s="1"/>
      <c r="N330" s="1"/>
      <c r="O330" s="1"/>
      <c r="P330" s="1"/>
      <c r="Q330" s="1"/>
      <c r="R330" s="1"/>
      <c r="S330" s="1"/>
      <c r="T330" s="1"/>
      <c r="U330" s="1"/>
      <c r="V330" s="1"/>
      <c r="W330" s="1"/>
      <c r="X330" s="1"/>
      <c r="Y330" s="1"/>
      <c r="Z330" s="1"/>
      <c r="AA330" s="1"/>
      <c r="AB330" s="1"/>
    </row>
    <row r="331" ht="14.25" customHeight="1">
      <c r="A331" s="1"/>
      <c r="B331" s="1"/>
      <c r="C331" s="1"/>
      <c r="D331" s="2"/>
      <c r="E331" s="2"/>
      <c r="F331" s="1"/>
      <c r="G331" s="1"/>
      <c r="H331" s="3"/>
      <c r="I331" s="1"/>
      <c r="J331" s="1"/>
      <c r="K331" s="1"/>
      <c r="L331" s="1"/>
      <c r="M331" s="1"/>
      <c r="N331" s="1"/>
      <c r="O331" s="1"/>
      <c r="P331" s="1"/>
      <c r="Q331" s="1"/>
      <c r="R331" s="1"/>
      <c r="S331" s="1"/>
      <c r="T331" s="1"/>
      <c r="U331" s="1"/>
      <c r="V331" s="1"/>
      <c r="W331" s="1"/>
      <c r="X331" s="1"/>
      <c r="Y331" s="1"/>
      <c r="Z331" s="1"/>
      <c r="AA331" s="1"/>
      <c r="AB331" s="1"/>
    </row>
    <row r="332" ht="14.25" customHeight="1">
      <c r="A332" s="1"/>
      <c r="B332" s="1"/>
      <c r="C332" s="1"/>
      <c r="D332" s="2"/>
      <c r="E332" s="2"/>
      <c r="F332" s="1"/>
      <c r="G332" s="1"/>
      <c r="H332" s="3"/>
      <c r="I332" s="1"/>
      <c r="J332" s="1"/>
      <c r="K332" s="1"/>
      <c r="L332" s="1"/>
      <c r="M332" s="1"/>
      <c r="N332" s="1"/>
      <c r="O332" s="1"/>
      <c r="P332" s="1"/>
      <c r="Q332" s="1"/>
      <c r="R332" s="1"/>
      <c r="S332" s="1"/>
      <c r="T332" s="1"/>
      <c r="U332" s="1"/>
      <c r="V332" s="1"/>
      <c r="W332" s="1"/>
      <c r="X332" s="1"/>
      <c r="Y332" s="1"/>
      <c r="Z332" s="1"/>
      <c r="AA332" s="1"/>
      <c r="AB332" s="1"/>
    </row>
    <row r="333" ht="14.25" customHeight="1">
      <c r="A333" s="1"/>
      <c r="B333" s="1"/>
      <c r="C333" s="1"/>
      <c r="D333" s="2"/>
      <c r="E333" s="2"/>
      <c r="F333" s="1"/>
      <c r="G333" s="1"/>
      <c r="H333" s="3"/>
      <c r="I333" s="1"/>
      <c r="J333" s="1"/>
      <c r="K333" s="1"/>
      <c r="L333" s="1"/>
      <c r="M333" s="1"/>
      <c r="N333" s="1"/>
      <c r="O333" s="1"/>
      <c r="P333" s="1"/>
      <c r="Q333" s="1"/>
      <c r="R333" s="1"/>
      <c r="S333" s="1"/>
      <c r="T333" s="1"/>
      <c r="U333" s="1"/>
      <c r="V333" s="1"/>
      <c r="W333" s="1"/>
      <c r="X333" s="1"/>
      <c r="Y333" s="1"/>
      <c r="Z333" s="1"/>
      <c r="AA333" s="1"/>
      <c r="AB333" s="1"/>
    </row>
    <row r="334" ht="14.25" customHeight="1">
      <c r="A334" s="1"/>
      <c r="B334" s="1"/>
      <c r="C334" s="1"/>
      <c r="D334" s="2"/>
      <c r="E334" s="2"/>
      <c r="F334" s="1"/>
      <c r="G334" s="1"/>
      <c r="H334" s="3"/>
      <c r="I334" s="1"/>
      <c r="J334" s="1"/>
      <c r="K334" s="1"/>
      <c r="L334" s="1"/>
      <c r="M334" s="1"/>
      <c r="N334" s="1"/>
      <c r="O334" s="1"/>
      <c r="P334" s="1"/>
      <c r="Q334" s="1"/>
      <c r="R334" s="1"/>
      <c r="S334" s="1"/>
      <c r="T334" s="1"/>
      <c r="U334" s="1"/>
      <c r="V334" s="1"/>
      <c r="W334" s="1"/>
      <c r="X334" s="1"/>
      <c r="Y334" s="1"/>
      <c r="Z334" s="1"/>
      <c r="AA334" s="1"/>
      <c r="AB334" s="1"/>
    </row>
    <row r="335" ht="14.25" customHeight="1">
      <c r="A335" s="1"/>
      <c r="B335" s="1"/>
      <c r="C335" s="1"/>
      <c r="D335" s="2"/>
      <c r="E335" s="2"/>
      <c r="F335" s="1"/>
      <c r="G335" s="1"/>
      <c r="H335" s="3"/>
      <c r="I335" s="1"/>
      <c r="J335" s="1"/>
      <c r="K335" s="1"/>
      <c r="L335" s="1"/>
      <c r="M335" s="1"/>
      <c r="N335" s="1"/>
      <c r="O335" s="1"/>
      <c r="P335" s="1"/>
      <c r="Q335" s="1"/>
      <c r="R335" s="1"/>
      <c r="S335" s="1"/>
      <c r="T335" s="1"/>
      <c r="U335" s="1"/>
      <c r="V335" s="1"/>
      <c r="W335" s="1"/>
      <c r="X335" s="1"/>
      <c r="Y335" s="1"/>
      <c r="Z335" s="1"/>
      <c r="AA335" s="1"/>
      <c r="AB335" s="1"/>
    </row>
    <row r="336" ht="14.25" customHeight="1">
      <c r="A336" s="1"/>
      <c r="B336" s="1"/>
      <c r="C336" s="1"/>
      <c r="D336" s="2"/>
      <c r="E336" s="2"/>
      <c r="F336" s="1"/>
      <c r="G336" s="1"/>
      <c r="H336" s="3"/>
      <c r="I336" s="1"/>
      <c r="J336" s="1"/>
      <c r="K336" s="1"/>
      <c r="L336" s="1"/>
      <c r="M336" s="1"/>
      <c r="N336" s="1"/>
      <c r="O336" s="1"/>
      <c r="P336" s="1"/>
      <c r="Q336" s="1"/>
      <c r="R336" s="1"/>
      <c r="S336" s="1"/>
      <c r="T336" s="1"/>
      <c r="U336" s="1"/>
      <c r="V336" s="1"/>
      <c r="W336" s="1"/>
      <c r="X336" s="1"/>
      <c r="Y336" s="1"/>
      <c r="Z336" s="1"/>
      <c r="AA336" s="1"/>
      <c r="AB336" s="1"/>
    </row>
    <row r="337" ht="14.25" customHeight="1">
      <c r="A337" s="1"/>
      <c r="B337" s="1"/>
      <c r="C337" s="1"/>
      <c r="D337" s="2"/>
      <c r="E337" s="2"/>
      <c r="F337" s="1"/>
      <c r="G337" s="1"/>
      <c r="H337" s="3"/>
      <c r="I337" s="1"/>
      <c r="J337" s="1"/>
      <c r="K337" s="1"/>
      <c r="L337" s="1"/>
      <c r="M337" s="1"/>
      <c r="N337" s="1"/>
      <c r="O337" s="1"/>
      <c r="P337" s="1"/>
      <c r="Q337" s="1"/>
      <c r="R337" s="1"/>
      <c r="S337" s="1"/>
      <c r="T337" s="1"/>
      <c r="U337" s="1"/>
      <c r="V337" s="1"/>
      <c r="W337" s="1"/>
      <c r="X337" s="1"/>
      <c r="Y337" s="1"/>
      <c r="Z337" s="1"/>
      <c r="AA337" s="1"/>
      <c r="AB337" s="1"/>
    </row>
    <row r="338" ht="14.25" customHeight="1">
      <c r="A338" s="1"/>
      <c r="B338" s="1"/>
      <c r="C338" s="1"/>
      <c r="D338" s="2"/>
      <c r="E338" s="2"/>
      <c r="F338" s="1"/>
      <c r="G338" s="1"/>
      <c r="H338" s="3"/>
      <c r="I338" s="1"/>
      <c r="J338" s="1"/>
      <c r="K338" s="1"/>
      <c r="L338" s="1"/>
      <c r="M338" s="1"/>
      <c r="N338" s="1"/>
      <c r="O338" s="1"/>
      <c r="P338" s="1"/>
      <c r="Q338" s="1"/>
      <c r="R338" s="1"/>
      <c r="S338" s="1"/>
      <c r="T338" s="1"/>
      <c r="U338" s="1"/>
      <c r="V338" s="1"/>
      <c r="W338" s="1"/>
      <c r="X338" s="1"/>
      <c r="Y338" s="1"/>
      <c r="Z338" s="1"/>
      <c r="AA338" s="1"/>
      <c r="AB338" s="1"/>
    </row>
    <row r="339" ht="14.25" customHeight="1">
      <c r="A339" s="1"/>
      <c r="B339" s="1"/>
      <c r="C339" s="1"/>
      <c r="D339" s="2"/>
      <c r="E339" s="2"/>
      <c r="F339" s="1"/>
      <c r="G339" s="1"/>
      <c r="H339" s="3"/>
      <c r="I339" s="1"/>
      <c r="J339" s="1"/>
      <c r="K339" s="1"/>
      <c r="L339" s="1"/>
      <c r="M339" s="1"/>
      <c r="N339" s="1"/>
      <c r="O339" s="1"/>
      <c r="P339" s="1"/>
      <c r="Q339" s="1"/>
      <c r="R339" s="1"/>
      <c r="S339" s="1"/>
      <c r="T339" s="1"/>
      <c r="U339" s="1"/>
      <c r="V339" s="1"/>
      <c r="W339" s="1"/>
      <c r="X339" s="1"/>
      <c r="Y339" s="1"/>
      <c r="Z339" s="1"/>
      <c r="AA339" s="1"/>
      <c r="AB339" s="1"/>
    </row>
    <row r="340" ht="14.25" customHeight="1">
      <c r="A340" s="1"/>
      <c r="B340" s="1"/>
      <c r="C340" s="1"/>
      <c r="D340" s="2"/>
      <c r="E340" s="2"/>
      <c r="F340" s="1"/>
      <c r="G340" s="1"/>
      <c r="H340" s="3"/>
      <c r="I340" s="1"/>
      <c r="J340" s="1"/>
      <c r="K340" s="1"/>
      <c r="L340" s="1"/>
      <c r="M340" s="1"/>
      <c r="N340" s="1"/>
      <c r="O340" s="1"/>
      <c r="P340" s="1"/>
      <c r="Q340" s="1"/>
      <c r="R340" s="1"/>
      <c r="S340" s="1"/>
      <c r="T340" s="1"/>
      <c r="U340" s="1"/>
      <c r="V340" s="1"/>
      <c r="W340" s="1"/>
      <c r="X340" s="1"/>
      <c r="Y340" s="1"/>
      <c r="Z340" s="1"/>
      <c r="AA340" s="1"/>
      <c r="AB340" s="1"/>
    </row>
    <row r="341" ht="14.25" customHeight="1">
      <c r="A341" s="1"/>
      <c r="B341" s="1"/>
      <c r="C341" s="1"/>
      <c r="D341" s="2"/>
      <c r="E341" s="2"/>
      <c r="F341" s="1"/>
      <c r="G341" s="1"/>
      <c r="H341" s="3"/>
      <c r="I341" s="1"/>
      <c r="J341" s="1"/>
      <c r="K341" s="1"/>
      <c r="L341" s="1"/>
      <c r="M341" s="1"/>
      <c r="N341" s="1"/>
      <c r="O341" s="1"/>
      <c r="P341" s="1"/>
      <c r="Q341" s="1"/>
      <c r="R341" s="1"/>
      <c r="S341" s="1"/>
      <c r="T341" s="1"/>
      <c r="U341" s="1"/>
      <c r="V341" s="1"/>
      <c r="W341" s="1"/>
      <c r="X341" s="1"/>
      <c r="Y341" s="1"/>
      <c r="Z341" s="1"/>
      <c r="AA341" s="1"/>
      <c r="AB341" s="1"/>
    </row>
    <row r="342" ht="14.25" customHeight="1">
      <c r="A342" s="1"/>
      <c r="B342" s="1"/>
      <c r="C342" s="1"/>
      <c r="D342" s="2"/>
      <c r="E342" s="2"/>
      <c r="F342" s="1"/>
      <c r="G342" s="1"/>
      <c r="H342" s="3"/>
      <c r="I342" s="1"/>
      <c r="J342" s="1"/>
      <c r="K342" s="1"/>
      <c r="L342" s="1"/>
      <c r="M342" s="1"/>
      <c r="N342" s="1"/>
      <c r="O342" s="1"/>
      <c r="P342" s="1"/>
      <c r="Q342" s="1"/>
      <c r="R342" s="1"/>
      <c r="S342" s="1"/>
      <c r="T342" s="1"/>
      <c r="U342" s="1"/>
      <c r="V342" s="1"/>
      <c r="W342" s="1"/>
      <c r="X342" s="1"/>
      <c r="Y342" s="1"/>
      <c r="Z342" s="1"/>
      <c r="AA342" s="1"/>
      <c r="AB342" s="1"/>
    </row>
    <row r="343" ht="14.25" customHeight="1">
      <c r="A343" s="1"/>
      <c r="B343" s="1"/>
      <c r="C343" s="1"/>
      <c r="D343" s="2"/>
      <c r="E343" s="2"/>
      <c r="F343" s="1"/>
      <c r="G343" s="1"/>
      <c r="H343" s="3"/>
      <c r="I343" s="1"/>
      <c r="J343" s="1"/>
      <c r="K343" s="1"/>
      <c r="L343" s="1"/>
      <c r="M343" s="1"/>
      <c r="N343" s="1"/>
      <c r="O343" s="1"/>
      <c r="P343" s="1"/>
      <c r="Q343" s="1"/>
      <c r="R343" s="1"/>
      <c r="S343" s="1"/>
      <c r="T343" s="1"/>
      <c r="U343" s="1"/>
      <c r="V343" s="1"/>
      <c r="W343" s="1"/>
      <c r="X343" s="1"/>
      <c r="Y343" s="1"/>
      <c r="Z343" s="1"/>
      <c r="AA343" s="1"/>
      <c r="AB343" s="1"/>
    </row>
    <row r="344" ht="14.25" customHeight="1">
      <c r="A344" s="1"/>
      <c r="B344" s="1"/>
      <c r="C344" s="1"/>
      <c r="D344" s="2"/>
      <c r="E344" s="2"/>
      <c r="F344" s="1"/>
      <c r="G344" s="1"/>
      <c r="H344" s="3"/>
      <c r="I344" s="1"/>
      <c r="J344" s="1"/>
      <c r="K344" s="1"/>
      <c r="L344" s="1"/>
      <c r="M344" s="1"/>
      <c r="N344" s="1"/>
      <c r="O344" s="1"/>
      <c r="P344" s="1"/>
      <c r="Q344" s="1"/>
      <c r="R344" s="1"/>
      <c r="S344" s="1"/>
      <c r="T344" s="1"/>
      <c r="U344" s="1"/>
      <c r="V344" s="1"/>
      <c r="W344" s="1"/>
      <c r="X344" s="1"/>
      <c r="Y344" s="1"/>
      <c r="Z344" s="1"/>
      <c r="AA344" s="1"/>
      <c r="AB344" s="1"/>
    </row>
    <row r="345" ht="14.25" customHeight="1">
      <c r="A345" s="1"/>
      <c r="B345" s="1"/>
      <c r="C345" s="1"/>
      <c r="D345" s="2"/>
      <c r="E345" s="2"/>
      <c r="F345" s="1"/>
      <c r="G345" s="1"/>
      <c r="H345" s="3"/>
      <c r="I345" s="1"/>
      <c r="J345" s="1"/>
      <c r="K345" s="1"/>
      <c r="L345" s="1"/>
      <c r="M345" s="1"/>
      <c r="N345" s="1"/>
      <c r="O345" s="1"/>
      <c r="P345" s="1"/>
      <c r="Q345" s="1"/>
      <c r="R345" s="1"/>
      <c r="S345" s="1"/>
      <c r="T345" s="1"/>
      <c r="U345" s="1"/>
      <c r="V345" s="1"/>
      <c r="W345" s="1"/>
      <c r="X345" s="1"/>
      <c r="Y345" s="1"/>
      <c r="Z345" s="1"/>
      <c r="AA345" s="1"/>
      <c r="AB345" s="1"/>
    </row>
    <row r="346" ht="14.25" customHeight="1">
      <c r="A346" s="1"/>
      <c r="B346" s="1"/>
      <c r="C346" s="1"/>
      <c r="D346" s="2"/>
      <c r="E346" s="2"/>
      <c r="F346" s="1"/>
      <c r="G346" s="1"/>
      <c r="H346" s="3"/>
      <c r="I346" s="1"/>
      <c r="J346" s="1"/>
      <c r="K346" s="1"/>
      <c r="L346" s="1"/>
      <c r="M346" s="1"/>
      <c r="N346" s="1"/>
      <c r="O346" s="1"/>
      <c r="P346" s="1"/>
      <c r="Q346" s="1"/>
      <c r="R346" s="1"/>
      <c r="S346" s="1"/>
      <c r="T346" s="1"/>
      <c r="U346" s="1"/>
      <c r="V346" s="1"/>
      <c r="W346" s="1"/>
      <c r="X346" s="1"/>
      <c r="Y346" s="1"/>
      <c r="Z346" s="1"/>
      <c r="AA346" s="1"/>
      <c r="AB346" s="1"/>
    </row>
    <row r="347" ht="14.25" customHeight="1">
      <c r="A347" s="1"/>
      <c r="B347" s="1"/>
      <c r="C347" s="1"/>
      <c r="D347" s="2"/>
      <c r="E347" s="2"/>
      <c r="F347" s="1"/>
      <c r="G347" s="1"/>
      <c r="H347" s="3"/>
      <c r="I347" s="1"/>
      <c r="J347" s="1"/>
      <c r="K347" s="1"/>
      <c r="L347" s="1"/>
      <c r="M347" s="1"/>
      <c r="N347" s="1"/>
      <c r="O347" s="1"/>
      <c r="P347" s="1"/>
      <c r="Q347" s="1"/>
      <c r="R347" s="1"/>
      <c r="S347" s="1"/>
      <c r="T347" s="1"/>
      <c r="U347" s="1"/>
      <c r="V347" s="1"/>
      <c r="W347" s="1"/>
      <c r="X347" s="1"/>
      <c r="Y347" s="1"/>
      <c r="Z347" s="1"/>
      <c r="AA347" s="1"/>
      <c r="AB347" s="1"/>
    </row>
    <row r="348" ht="14.25" customHeight="1">
      <c r="A348" s="1"/>
      <c r="B348" s="1"/>
      <c r="C348" s="1"/>
      <c r="D348" s="2"/>
      <c r="E348" s="2"/>
      <c r="F348" s="1"/>
      <c r="G348" s="1"/>
      <c r="H348" s="3"/>
      <c r="I348" s="1"/>
      <c r="J348" s="1"/>
      <c r="K348" s="1"/>
      <c r="L348" s="1"/>
      <c r="M348" s="1"/>
      <c r="N348" s="1"/>
      <c r="O348" s="1"/>
      <c r="P348" s="1"/>
      <c r="Q348" s="1"/>
      <c r="R348" s="1"/>
      <c r="S348" s="1"/>
      <c r="T348" s="1"/>
      <c r="U348" s="1"/>
      <c r="V348" s="1"/>
      <c r="W348" s="1"/>
      <c r="X348" s="1"/>
      <c r="Y348" s="1"/>
      <c r="Z348" s="1"/>
      <c r="AA348" s="1"/>
      <c r="AB348" s="1"/>
    </row>
    <row r="349" ht="14.25" customHeight="1">
      <c r="A349" s="1"/>
      <c r="B349" s="1"/>
      <c r="C349" s="1"/>
      <c r="D349" s="2"/>
      <c r="E349" s="2"/>
      <c r="F349" s="1"/>
      <c r="G349" s="1"/>
      <c r="H349" s="3"/>
      <c r="I349" s="1"/>
      <c r="J349" s="1"/>
      <c r="K349" s="1"/>
      <c r="L349" s="1"/>
      <c r="M349" s="1"/>
      <c r="N349" s="1"/>
      <c r="O349" s="1"/>
      <c r="P349" s="1"/>
      <c r="Q349" s="1"/>
      <c r="R349" s="1"/>
      <c r="S349" s="1"/>
      <c r="T349" s="1"/>
      <c r="U349" s="1"/>
      <c r="V349" s="1"/>
      <c r="W349" s="1"/>
      <c r="X349" s="1"/>
      <c r="Y349" s="1"/>
      <c r="Z349" s="1"/>
      <c r="AA349" s="1"/>
      <c r="AB349" s="1"/>
    </row>
    <row r="350" ht="14.25" customHeight="1">
      <c r="A350" s="1"/>
      <c r="B350" s="1"/>
      <c r="C350" s="1"/>
      <c r="D350" s="2"/>
      <c r="E350" s="2"/>
      <c r="F350" s="1"/>
      <c r="G350" s="1"/>
      <c r="H350" s="3"/>
      <c r="I350" s="1"/>
      <c r="J350" s="1"/>
      <c r="K350" s="1"/>
      <c r="L350" s="1"/>
      <c r="M350" s="1"/>
      <c r="N350" s="1"/>
      <c r="O350" s="1"/>
      <c r="P350" s="1"/>
      <c r="Q350" s="1"/>
      <c r="R350" s="1"/>
      <c r="S350" s="1"/>
      <c r="T350" s="1"/>
      <c r="U350" s="1"/>
      <c r="V350" s="1"/>
      <c r="W350" s="1"/>
      <c r="X350" s="1"/>
      <c r="Y350" s="1"/>
      <c r="Z350" s="1"/>
      <c r="AA350" s="1"/>
      <c r="AB350" s="1"/>
    </row>
    <row r="351" ht="14.25" customHeight="1">
      <c r="A351" s="1"/>
      <c r="B351" s="1"/>
      <c r="C351" s="1"/>
      <c r="D351" s="2"/>
      <c r="E351" s="2"/>
      <c r="F351" s="1"/>
      <c r="G351" s="1"/>
      <c r="H351" s="3"/>
      <c r="I351" s="1"/>
      <c r="J351" s="1"/>
      <c r="K351" s="1"/>
      <c r="L351" s="1"/>
      <c r="M351" s="1"/>
      <c r="N351" s="1"/>
      <c r="O351" s="1"/>
      <c r="P351" s="1"/>
      <c r="Q351" s="1"/>
      <c r="R351" s="1"/>
      <c r="S351" s="1"/>
      <c r="T351" s="1"/>
      <c r="U351" s="1"/>
      <c r="V351" s="1"/>
      <c r="W351" s="1"/>
      <c r="X351" s="1"/>
      <c r="Y351" s="1"/>
      <c r="Z351" s="1"/>
      <c r="AA351" s="1"/>
      <c r="AB351" s="1"/>
    </row>
    <row r="352" ht="14.25" customHeight="1">
      <c r="A352" s="1"/>
      <c r="B352" s="1"/>
      <c r="C352" s="1"/>
      <c r="D352" s="2"/>
      <c r="E352" s="2"/>
      <c r="F352" s="1"/>
      <c r="G352" s="1"/>
      <c r="H352" s="3"/>
      <c r="I352" s="1"/>
      <c r="J352" s="1"/>
      <c r="K352" s="1"/>
      <c r="L352" s="1"/>
      <c r="M352" s="1"/>
      <c r="N352" s="1"/>
      <c r="O352" s="1"/>
      <c r="P352" s="1"/>
      <c r="Q352" s="1"/>
      <c r="R352" s="1"/>
      <c r="S352" s="1"/>
      <c r="T352" s="1"/>
      <c r="U352" s="1"/>
      <c r="V352" s="1"/>
      <c r="W352" s="1"/>
      <c r="X352" s="1"/>
      <c r="Y352" s="1"/>
      <c r="Z352" s="1"/>
      <c r="AA352" s="1"/>
      <c r="AB352" s="1"/>
    </row>
    <row r="353" ht="14.25" customHeight="1">
      <c r="A353" s="1"/>
      <c r="B353" s="1"/>
      <c r="C353" s="1"/>
      <c r="D353" s="2"/>
      <c r="E353" s="2"/>
      <c r="F353" s="1"/>
      <c r="G353" s="1"/>
      <c r="H353" s="3"/>
      <c r="I353" s="1"/>
      <c r="J353" s="1"/>
      <c r="K353" s="1"/>
      <c r="L353" s="1"/>
      <c r="M353" s="1"/>
      <c r="N353" s="1"/>
      <c r="O353" s="1"/>
      <c r="P353" s="1"/>
      <c r="Q353" s="1"/>
      <c r="R353" s="1"/>
      <c r="S353" s="1"/>
      <c r="T353" s="1"/>
      <c r="U353" s="1"/>
      <c r="V353" s="1"/>
      <c r="W353" s="1"/>
      <c r="X353" s="1"/>
      <c r="Y353" s="1"/>
      <c r="Z353" s="1"/>
      <c r="AA353" s="1"/>
      <c r="AB353" s="1"/>
    </row>
    <row r="354" ht="14.25" customHeight="1">
      <c r="A354" s="1"/>
      <c r="B354" s="1"/>
      <c r="C354" s="1"/>
      <c r="D354" s="2"/>
      <c r="E354" s="2"/>
      <c r="F354" s="1"/>
      <c r="G354" s="1"/>
      <c r="H354" s="3"/>
      <c r="I354" s="1"/>
      <c r="J354" s="1"/>
      <c r="K354" s="1"/>
      <c r="L354" s="1"/>
      <c r="M354" s="1"/>
      <c r="N354" s="1"/>
      <c r="O354" s="1"/>
      <c r="P354" s="1"/>
      <c r="Q354" s="1"/>
      <c r="R354" s="1"/>
      <c r="S354" s="1"/>
      <c r="T354" s="1"/>
      <c r="U354" s="1"/>
      <c r="V354" s="1"/>
      <c r="W354" s="1"/>
      <c r="X354" s="1"/>
      <c r="Y354" s="1"/>
      <c r="Z354" s="1"/>
      <c r="AA354" s="1"/>
      <c r="AB354" s="1"/>
    </row>
    <row r="355" ht="14.25" customHeight="1">
      <c r="A355" s="1"/>
      <c r="B355" s="1"/>
      <c r="C355" s="1"/>
      <c r="D355" s="2"/>
      <c r="E355" s="2"/>
      <c r="F355" s="1"/>
      <c r="G355" s="1"/>
      <c r="H355" s="3"/>
      <c r="I355" s="1"/>
      <c r="J355" s="1"/>
      <c r="K355" s="1"/>
      <c r="L355" s="1"/>
      <c r="M355" s="1"/>
      <c r="N355" s="1"/>
      <c r="O355" s="1"/>
      <c r="P355" s="1"/>
      <c r="Q355" s="1"/>
      <c r="R355" s="1"/>
      <c r="S355" s="1"/>
      <c r="T355" s="1"/>
      <c r="U355" s="1"/>
      <c r="V355" s="1"/>
      <c r="W355" s="1"/>
      <c r="X355" s="1"/>
      <c r="Y355" s="1"/>
      <c r="Z355" s="1"/>
      <c r="AA355" s="1"/>
      <c r="AB355" s="1"/>
    </row>
    <row r="356" ht="14.25" customHeight="1">
      <c r="A356" s="1"/>
      <c r="B356" s="1"/>
      <c r="C356" s="1"/>
      <c r="D356" s="2"/>
      <c r="E356" s="2"/>
      <c r="F356" s="1"/>
      <c r="G356" s="1"/>
      <c r="H356" s="3"/>
      <c r="I356" s="1"/>
      <c r="J356" s="1"/>
      <c r="K356" s="1"/>
      <c r="L356" s="1"/>
      <c r="M356" s="1"/>
      <c r="N356" s="1"/>
      <c r="O356" s="1"/>
      <c r="P356" s="1"/>
      <c r="Q356" s="1"/>
      <c r="R356" s="1"/>
      <c r="S356" s="1"/>
      <c r="T356" s="1"/>
      <c r="U356" s="1"/>
      <c r="V356" s="1"/>
      <c r="W356" s="1"/>
      <c r="X356" s="1"/>
      <c r="Y356" s="1"/>
      <c r="Z356" s="1"/>
      <c r="AA356" s="1"/>
      <c r="AB356" s="1"/>
    </row>
    <row r="357" ht="14.25" customHeight="1">
      <c r="A357" s="1"/>
      <c r="B357" s="1"/>
      <c r="C357" s="1"/>
      <c r="D357" s="2"/>
      <c r="E357" s="2"/>
      <c r="F357" s="1"/>
      <c r="G357" s="1"/>
      <c r="H357" s="3"/>
      <c r="I357" s="1"/>
      <c r="J357" s="1"/>
      <c r="K357" s="1"/>
      <c r="L357" s="1"/>
      <c r="M357" s="1"/>
      <c r="N357" s="1"/>
      <c r="O357" s="1"/>
      <c r="P357" s="1"/>
      <c r="Q357" s="1"/>
      <c r="R357" s="1"/>
      <c r="S357" s="1"/>
      <c r="T357" s="1"/>
      <c r="U357" s="1"/>
      <c r="V357" s="1"/>
      <c r="W357" s="1"/>
      <c r="X357" s="1"/>
      <c r="Y357" s="1"/>
      <c r="Z357" s="1"/>
      <c r="AA357" s="1"/>
      <c r="AB357" s="1"/>
    </row>
    <row r="358" ht="14.25" customHeight="1">
      <c r="A358" s="1"/>
      <c r="B358" s="1"/>
      <c r="C358" s="1"/>
      <c r="D358" s="2"/>
      <c r="E358" s="2"/>
      <c r="F358" s="1"/>
      <c r="G358" s="1"/>
      <c r="H358" s="3"/>
      <c r="I358" s="1"/>
      <c r="J358" s="1"/>
      <c r="K358" s="1"/>
      <c r="L358" s="1"/>
      <c r="M358" s="1"/>
      <c r="N358" s="1"/>
      <c r="O358" s="1"/>
      <c r="P358" s="1"/>
      <c r="Q358" s="1"/>
      <c r="R358" s="1"/>
      <c r="S358" s="1"/>
      <c r="T358" s="1"/>
      <c r="U358" s="1"/>
      <c r="V358" s="1"/>
      <c r="W358" s="1"/>
      <c r="X358" s="1"/>
      <c r="Y358" s="1"/>
      <c r="Z358" s="1"/>
      <c r="AA358" s="1"/>
      <c r="AB358" s="1"/>
    </row>
    <row r="359" ht="14.25" customHeight="1">
      <c r="A359" s="1"/>
      <c r="B359" s="1"/>
      <c r="C359" s="1"/>
      <c r="D359" s="2"/>
      <c r="E359" s="2"/>
      <c r="F359" s="1"/>
      <c r="G359" s="1"/>
      <c r="H359" s="3"/>
      <c r="I359" s="1"/>
      <c r="J359" s="1"/>
      <c r="K359" s="1"/>
      <c r="L359" s="1"/>
      <c r="M359" s="1"/>
      <c r="N359" s="1"/>
      <c r="O359" s="1"/>
      <c r="P359" s="1"/>
      <c r="Q359" s="1"/>
      <c r="R359" s="1"/>
      <c r="S359" s="1"/>
      <c r="T359" s="1"/>
      <c r="U359" s="1"/>
      <c r="V359" s="1"/>
      <c r="W359" s="1"/>
      <c r="X359" s="1"/>
      <c r="Y359" s="1"/>
      <c r="Z359" s="1"/>
      <c r="AA359" s="1"/>
      <c r="AB359" s="1"/>
    </row>
    <row r="360" ht="14.25" customHeight="1">
      <c r="A360" s="1"/>
      <c r="B360" s="1"/>
      <c r="C360" s="1"/>
      <c r="D360" s="2"/>
      <c r="E360" s="2"/>
      <c r="F360" s="1"/>
      <c r="G360" s="1"/>
      <c r="H360" s="3"/>
      <c r="I360" s="1"/>
      <c r="J360" s="1"/>
      <c r="K360" s="1"/>
      <c r="L360" s="1"/>
      <c r="M360" s="1"/>
      <c r="N360" s="1"/>
      <c r="O360" s="1"/>
      <c r="P360" s="1"/>
      <c r="Q360" s="1"/>
      <c r="R360" s="1"/>
      <c r="S360" s="1"/>
      <c r="T360" s="1"/>
      <c r="U360" s="1"/>
      <c r="V360" s="1"/>
      <c r="W360" s="1"/>
      <c r="X360" s="1"/>
      <c r="Y360" s="1"/>
      <c r="Z360" s="1"/>
      <c r="AA360" s="1"/>
      <c r="AB360" s="1"/>
    </row>
    <row r="361" ht="14.25" customHeight="1">
      <c r="A361" s="1"/>
      <c r="B361" s="1"/>
      <c r="C361" s="1"/>
      <c r="D361" s="2"/>
      <c r="E361" s="2"/>
      <c r="F361" s="1"/>
      <c r="G361" s="1"/>
      <c r="H361" s="3"/>
      <c r="I361" s="1"/>
      <c r="J361" s="1"/>
      <c r="K361" s="1"/>
      <c r="L361" s="1"/>
      <c r="M361" s="1"/>
      <c r="N361" s="1"/>
      <c r="O361" s="1"/>
      <c r="P361" s="1"/>
      <c r="Q361" s="1"/>
      <c r="R361" s="1"/>
      <c r="S361" s="1"/>
      <c r="T361" s="1"/>
      <c r="U361" s="1"/>
      <c r="V361" s="1"/>
      <c r="W361" s="1"/>
      <c r="X361" s="1"/>
      <c r="Y361" s="1"/>
      <c r="Z361" s="1"/>
      <c r="AA361" s="1"/>
      <c r="AB361" s="1"/>
    </row>
    <row r="362" ht="14.25" customHeight="1">
      <c r="A362" s="1"/>
      <c r="B362" s="1"/>
      <c r="C362" s="1"/>
      <c r="D362" s="2"/>
      <c r="E362" s="2"/>
      <c r="F362" s="1"/>
      <c r="G362" s="1"/>
      <c r="H362" s="3"/>
      <c r="I362" s="1"/>
      <c r="J362" s="1"/>
      <c r="K362" s="1"/>
      <c r="L362" s="1"/>
      <c r="M362" s="1"/>
      <c r="N362" s="1"/>
      <c r="O362" s="1"/>
      <c r="P362" s="1"/>
      <c r="Q362" s="1"/>
      <c r="R362" s="1"/>
      <c r="S362" s="1"/>
      <c r="T362" s="1"/>
      <c r="U362" s="1"/>
      <c r="V362" s="1"/>
      <c r="W362" s="1"/>
      <c r="X362" s="1"/>
      <c r="Y362" s="1"/>
      <c r="Z362" s="1"/>
      <c r="AA362" s="1"/>
      <c r="AB362" s="1"/>
    </row>
    <row r="363" ht="14.25" customHeight="1">
      <c r="A363" s="1"/>
      <c r="B363" s="1"/>
      <c r="C363" s="1"/>
      <c r="D363" s="2"/>
      <c r="E363" s="2"/>
      <c r="F363" s="1"/>
      <c r="G363" s="1"/>
      <c r="H363" s="3"/>
      <c r="I363" s="1"/>
      <c r="J363" s="1"/>
      <c r="K363" s="1"/>
      <c r="L363" s="1"/>
      <c r="M363" s="1"/>
      <c r="N363" s="1"/>
      <c r="O363" s="1"/>
      <c r="P363" s="1"/>
      <c r="Q363" s="1"/>
      <c r="R363" s="1"/>
      <c r="S363" s="1"/>
      <c r="T363" s="1"/>
      <c r="U363" s="1"/>
      <c r="V363" s="1"/>
      <c r="W363" s="1"/>
      <c r="X363" s="1"/>
      <c r="Y363" s="1"/>
      <c r="Z363" s="1"/>
      <c r="AA363" s="1"/>
      <c r="AB363" s="1"/>
    </row>
    <row r="364" ht="14.25" customHeight="1">
      <c r="A364" s="1"/>
      <c r="B364" s="1"/>
      <c r="C364" s="1"/>
      <c r="D364" s="2"/>
      <c r="E364" s="2"/>
      <c r="F364" s="1"/>
      <c r="G364" s="1"/>
      <c r="H364" s="3"/>
      <c r="I364" s="1"/>
      <c r="J364" s="1"/>
      <c r="K364" s="1"/>
      <c r="L364" s="1"/>
      <c r="M364" s="1"/>
      <c r="N364" s="1"/>
      <c r="O364" s="1"/>
      <c r="P364" s="1"/>
      <c r="Q364" s="1"/>
      <c r="R364" s="1"/>
      <c r="S364" s="1"/>
      <c r="T364" s="1"/>
      <c r="U364" s="1"/>
      <c r="V364" s="1"/>
      <c r="W364" s="1"/>
      <c r="X364" s="1"/>
      <c r="Y364" s="1"/>
      <c r="Z364" s="1"/>
      <c r="AA364" s="1"/>
      <c r="AB364" s="1"/>
    </row>
    <row r="365" ht="14.25" customHeight="1">
      <c r="A365" s="1"/>
      <c r="B365" s="1"/>
      <c r="C365" s="1"/>
      <c r="D365" s="2"/>
      <c r="E365" s="2"/>
      <c r="F365" s="1"/>
      <c r="G365" s="1"/>
      <c r="H365" s="3"/>
      <c r="I365" s="1"/>
      <c r="J365" s="1"/>
      <c r="K365" s="1"/>
      <c r="L365" s="1"/>
      <c r="M365" s="1"/>
      <c r="N365" s="1"/>
      <c r="O365" s="1"/>
      <c r="P365" s="1"/>
      <c r="Q365" s="1"/>
      <c r="R365" s="1"/>
      <c r="S365" s="1"/>
      <c r="T365" s="1"/>
      <c r="U365" s="1"/>
      <c r="V365" s="1"/>
      <c r="W365" s="1"/>
      <c r="X365" s="1"/>
      <c r="Y365" s="1"/>
      <c r="Z365" s="1"/>
      <c r="AA365" s="1"/>
      <c r="AB365" s="1"/>
    </row>
    <row r="366" ht="14.25" customHeight="1">
      <c r="A366" s="1"/>
      <c r="B366" s="1"/>
      <c r="C366" s="1"/>
      <c r="D366" s="2"/>
      <c r="E366" s="2"/>
      <c r="F366" s="1"/>
      <c r="G366" s="1"/>
      <c r="H366" s="3"/>
      <c r="I366" s="1"/>
      <c r="J366" s="1"/>
      <c r="K366" s="1"/>
      <c r="L366" s="1"/>
      <c r="M366" s="1"/>
      <c r="N366" s="1"/>
      <c r="O366" s="1"/>
      <c r="P366" s="1"/>
      <c r="Q366" s="1"/>
      <c r="R366" s="1"/>
      <c r="S366" s="1"/>
      <c r="T366" s="1"/>
      <c r="U366" s="1"/>
      <c r="V366" s="1"/>
      <c r="W366" s="1"/>
      <c r="X366" s="1"/>
      <c r="Y366" s="1"/>
      <c r="Z366" s="1"/>
      <c r="AA366" s="1"/>
      <c r="AB366" s="1"/>
    </row>
    <row r="367" ht="14.25" customHeight="1">
      <c r="A367" s="1"/>
      <c r="B367" s="1"/>
      <c r="C367" s="1"/>
      <c r="D367" s="2"/>
      <c r="E367" s="2"/>
      <c r="F367" s="1"/>
      <c r="G367" s="1"/>
      <c r="H367" s="3"/>
      <c r="I367" s="1"/>
      <c r="J367" s="1"/>
      <c r="K367" s="1"/>
      <c r="L367" s="1"/>
      <c r="M367" s="1"/>
      <c r="N367" s="1"/>
      <c r="O367" s="1"/>
      <c r="P367" s="1"/>
      <c r="Q367" s="1"/>
      <c r="R367" s="1"/>
      <c r="S367" s="1"/>
      <c r="T367" s="1"/>
      <c r="U367" s="1"/>
      <c r="V367" s="1"/>
      <c r="W367" s="1"/>
      <c r="X367" s="1"/>
      <c r="Y367" s="1"/>
      <c r="Z367" s="1"/>
      <c r="AA367" s="1"/>
      <c r="AB367" s="1"/>
    </row>
    <row r="368" ht="14.25" customHeight="1">
      <c r="A368" s="1"/>
      <c r="B368" s="1"/>
      <c r="C368" s="1"/>
      <c r="D368" s="2"/>
      <c r="E368" s="2"/>
      <c r="F368" s="1"/>
      <c r="G368" s="1"/>
      <c r="H368" s="3"/>
      <c r="I368" s="1"/>
      <c r="J368" s="1"/>
      <c r="K368" s="1"/>
      <c r="L368" s="1"/>
      <c r="M368" s="1"/>
      <c r="N368" s="1"/>
      <c r="O368" s="1"/>
      <c r="P368" s="1"/>
      <c r="Q368" s="1"/>
      <c r="R368" s="1"/>
      <c r="S368" s="1"/>
      <c r="T368" s="1"/>
      <c r="U368" s="1"/>
      <c r="V368" s="1"/>
      <c r="W368" s="1"/>
      <c r="X368" s="1"/>
      <c r="Y368" s="1"/>
      <c r="Z368" s="1"/>
      <c r="AA368" s="1"/>
      <c r="AB368" s="1"/>
    </row>
    <row r="369" ht="14.25" customHeight="1">
      <c r="A369" s="1"/>
      <c r="B369" s="1"/>
      <c r="C369" s="1"/>
      <c r="D369" s="2"/>
      <c r="E369" s="2"/>
      <c r="F369" s="1"/>
      <c r="G369" s="1"/>
      <c r="H369" s="3"/>
      <c r="I369" s="1"/>
      <c r="J369" s="1"/>
      <c r="K369" s="1"/>
      <c r="L369" s="1"/>
      <c r="M369" s="1"/>
      <c r="N369" s="1"/>
      <c r="O369" s="1"/>
      <c r="P369" s="1"/>
      <c r="Q369" s="1"/>
      <c r="R369" s="1"/>
      <c r="S369" s="1"/>
      <c r="T369" s="1"/>
      <c r="U369" s="1"/>
      <c r="V369" s="1"/>
      <c r="W369" s="1"/>
      <c r="X369" s="1"/>
      <c r="Y369" s="1"/>
      <c r="Z369" s="1"/>
      <c r="AA369" s="1"/>
      <c r="AB369" s="1"/>
    </row>
    <row r="370" ht="14.25" customHeight="1">
      <c r="A370" s="1"/>
      <c r="B370" s="1"/>
      <c r="C370" s="1"/>
      <c r="D370" s="2"/>
      <c r="E370" s="2"/>
      <c r="F370" s="1"/>
      <c r="G370" s="1"/>
      <c r="H370" s="3"/>
      <c r="I370" s="1"/>
      <c r="J370" s="1"/>
      <c r="K370" s="1"/>
      <c r="L370" s="1"/>
      <c r="M370" s="1"/>
      <c r="N370" s="1"/>
      <c r="O370" s="1"/>
      <c r="P370" s="1"/>
      <c r="Q370" s="1"/>
      <c r="R370" s="1"/>
      <c r="S370" s="1"/>
      <c r="T370" s="1"/>
      <c r="U370" s="1"/>
      <c r="V370" s="1"/>
      <c r="W370" s="1"/>
      <c r="X370" s="1"/>
      <c r="Y370" s="1"/>
      <c r="Z370" s="1"/>
      <c r="AA370" s="1"/>
      <c r="AB370" s="1"/>
    </row>
    <row r="371" ht="14.25" customHeight="1">
      <c r="A371" s="1"/>
      <c r="B371" s="1"/>
      <c r="C371" s="1"/>
      <c r="D371" s="2"/>
      <c r="E371" s="2"/>
      <c r="F371" s="1"/>
      <c r="G371" s="1"/>
      <c r="H371" s="3"/>
      <c r="I371" s="1"/>
      <c r="J371" s="1"/>
      <c r="K371" s="1"/>
      <c r="L371" s="1"/>
      <c r="M371" s="1"/>
      <c r="N371" s="1"/>
      <c r="O371" s="1"/>
      <c r="P371" s="1"/>
      <c r="Q371" s="1"/>
      <c r="R371" s="1"/>
      <c r="S371" s="1"/>
      <c r="T371" s="1"/>
      <c r="U371" s="1"/>
      <c r="V371" s="1"/>
      <c r="W371" s="1"/>
      <c r="X371" s="1"/>
      <c r="Y371" s="1"/>
      <c r="Z371" s="1"/>
      <c r="AA371" s="1"/>
      <c r="AB371" s="1"/>
    </row>
    <row r="372" ht="14.25" customHeight="1">
      <c r="A372" s="1"/>
      <c r="B372" s="1"/>
      <c r="C372" s="1"/>
      <c r="D372" s="2"/>
      <c r="E372" s="2"/>
      <c r="F372" s="1"/>
      <c r="G372" s="1"/>
      <c r="H372" s="3"/>
      <c r="I372" s="1"/>
      <c r="J372" s="1"/>
      <c r="K372" s="1"/>
      <c r="L372" s="1"/>
      <c r="M372" s="1"/>
      <c r="N372" s="1"/>
      <c r="O372" s="1"/>
      <c r="P372" s="1"/>
      <c r="Q372" s="1"/>
      <c r="R372" s="1"/>
      <c r="S372" s="1"/>
      <c r="T372" s="1"/>
      <c r="U372" s="1"/>
      <c r="V372" s="1"/>
      <c r="W372" s="1"/>
      <c r="X372" s="1"/>
      <c r="Y372" s="1"/>
      <c r="Z372" s="1"/>
      <c r="AA372" s="1"/>
      <c r="AB372" s="1"/>
    </row>
    <row r="373" ht="14.25" customHeight="1">
      <c r="A373" s="1"/>
      <c r="B373" s="1"/>
      <c r="C373" s="1"/>
      <c r="D373" s="2"/>
      <c r="E373" s="2"/>
      <c r="F373" s="1"/>
      <c r="G373" s="1"/>
      <c r="H373" s="3"/>
      <c r="I373" s="1"/>
      <c r="J373" s="1"/>
      <c r="K373" s="1"/>
      <c r="L373" s="1"/>
      <c r="M373" s="1"/>
      <c r="N373" s="1"/>
      <c r="O373" s="1"/>
      <c r="P373" s="1"/>
      <c r="Q373" s="1"/>
      <c r="R373" s="1"/>
      <c r="S373" s="1"/>
      <c r="T373" s="1"/>
      <c r="U373" s="1"/>
      <c r="V373" s="1"/>
      <c r="W373" s="1"/>
      <c r="X373" s="1"/>
      <c r="Y373" s="1"/>
      <c r="Z373" s="1"/>
      <c r="AA373" s="1"/>
      <c r="AB373" s="1"/>
    </row>
    <row r="374" ht="14.25" customHeight="1">
      <c r="A374" s="1"/>
      <c r="B374" s="1"/>
      <c r="C374" s="1"/>
      <c r="D374" s="2"/>
      <c r="E374" s="2"/>
      <c r="F374" s="1"/>
      <c r="G374" s="1"/>
      <c r="H374" s="3"/>
      <c r="I374" s="1"/>
      <c r="J374" s="1"/>
      <c r="K374" s="1"/>
      <c r="L374" s="1"/>
      <c r="M374" s="1"/>
      <c r="N374" s="1"/>
      <c r="O374" s="1"/>
      <c r="P374" s="1"/>
      <c r="Q374" s="1"/>
      <c r="R374" s="1"/>
      <c r="S374" s="1"/>
      <c r="T374" s="1"/>
      <c r="U374" s="1"/>
      <c r="V374" s="1"/>
      <c r="W374" s="1"/>
      <c r="X374" s="1"/>
      <c r="Y374" s="1"/>
      <c r="Z374" s="1"/>
      <c r="AA374" s="1"/>
      <c r="AB374" s="1"/>
    </row>
    <row r="375" ht="14.25" customHeight="1">
      <c r="A375" s="1"/>
      <c r="B375" s="1"/>
      <c r="C375" s="1"/>
      <c r="D375" s="2"/>
      <c r="E375" s="2"/>
      <c r="F375" s="1"/>
      <c r="G375" s="1"/>
      <c r="H375" s="3"/>
      <c r="I375" s="1"/>
      <c r="J375" s="1"/>
      <c r="K375" s="1"/>
      <c r="L375" s="1"/>
      <c r="M375" s="1"/>
      <c r="N375" s="1"/>
      <c r="O375" s="1"/>
      <c r="P375" s="1"/>
      <c r="Q375" s="1"/>
      <c r="R375" s="1"/>
      <c r="S375" s="1"/>
      <c r="T375" s="1"/>
      <c r="U375" s="1"/>
      <c r="V375" s="1"/>
      <c r="W375" s="1"/>
      <c r="X375" s="1"/>
      <c r="Y375" s="1"/>
      <c r="Z375" s="1"/>
      <c r="AA375" s="1"/>
      <c r="AB375" s="1"/>
    </row>
    <row r="376" ht="14.25" customHeight="1">
      <c r="A376" s="1"/>
      <c r="B376" s="1"/>
      <c r="C376" s="1"/>
      <c r="D376" s="2"/>
      <c r="E376" s="2"/>
      <c r="F376" s="1"/>
      <c r="G376" s="1"/>
      <c r="H376" s="3"/>
      <c r="I376" s="1"/>
      <c r="J376" s="1"/>
      <c r="K376" s="1"/>
      <c r="L376" s="1"/>
      <c r="M376" s="1"/>
      <c r="N376" s="1"/>
      <c r="O376" s="1"/>
      <c r="P376" s="1"/>
      <c r="Q376" s="1"/>
      <c r="R376" s="1"/>
      <c r="S376" s="1"/>
      <c r="T376" s="1"/>
      <c r="U376" s="1"/>
      <c r="V376" s="1"/>
      <c r="W376" s="1"/>
      <c r="X376" s="1"/>
      <c r="Y376" s="1"/>
      <c r="Z376" s="1"/>
      <c r="AA376" s="1"/>
      <c r="AB376" s="1"/>
    </row>
    <row r="377" ht="14.25" customHeight="1">
      <c r="A377" s="1"/>
      <c r="B377" s="1"/>
      <c r="C377" s="1"/>
      <c r="D377" s="2"/>
      <c r="E377" s="2"/>
      <c r="F377" s="1"/>
      <c r="G377" s="1"/>
      <c r="H377" s="3"/>
      <c r="I377" s="1"/>
      <c r="J377" s="1"/>
      <c r="K377" s="1"/>
      <c r="L377" s="1"/>
      <c r="M377" s="1"/>
      <c r="N377" s="1"/>
      <c r="O377" s="1"/>
      <c r="P377" s="1"/>
      <c r="Q377" s="1"/>
      <c r="R377" s="1"/>
      <c r="S377" s="1"/>
      <c r="T377" s="1"/>
      <c r="U377" s="1"/>
      <c r="V377" s="1"/>
      <c r="W377" s="1"/>
      <c r="X377" s="1"/>
      <c r="Y377" s="1"/>
      <c r="Z377" s="1"/>
      <c r="AA377" s="1"/>
      <c r="AB377" s="1"/>
    </row>
    <row r="378" ht="14.25" customHeight="1">
      <c r="A378" s="1"/>
      <c r="B378" s="1"/>
      <c r="C378" s="1"/>
      <c r="D378" s="2"/>
      <c r="E378" s="2"/>
      <c r="F378" s="1"/>
      <c r="G378" s="1"/>
      <c r="H378" s="3"/>
      <c r="I378" s="1"/>
      <c r="J378" s="1"/>
      <c r="K378" s="1"/>
      <c r="L378" s="1"/>
      <c r="M378" s="1"/>
      <c r="N378" s="1"/>
      <c r="O378" s="1"/>
      <c r="P378" s="1"/>
      <c r="Q378" s="1"/>
      <c r="R378" s="1"/>
      <c r="S378" s="1"/>
      <c r="T378" s="1"/>
      <c r="U378" s="1"/>
      <c r="V378" s="1"/>
      <c r="W378" s="1"/>
      <c r="X378" s="1"/>
      <c r="Y378" s="1"/>
      <c r="Z378" s="1"/>
      <c r="AA378" s="1"/>
      <c r="AB378" s="1"/>
    </row>
    <row r="379" ht="14.25" customHeight="1">
      <c r="A379" s="1"/>
      <c r="B379" s="1"/>
      <c r="C379" s="1"/>
      <c r="D379" s="2"/>
      <c r="E379" s="2"/>
      <c r="F379" s="1"/>
      <c r="G379" s="1"/>
      <c r="H379" s="3"/>
      <c r="I379" s="1"/>
      <c r="J379" s="1"/>
      <c r="K379" s="1"/>
      <c r="L379" s="1"/>
      <c r="M379" s="1"/>
      <c r="N379" s="1"/>
      <c r="O379" s="1"/>
      <c r="P379" s="1"/>
      <c r="Q379" s="1"/>
      <c r="R379" s="1"/>
      <c r="S379" s="1"/>
      <c r="T379" s="1"/>
      <c r="U379" s="1"/>
      <c r="V379" s="1"/>
      <c r="W379" s="1"/>
      <c r="X379" s="1"/>
      <c r="Y379" s="1"/>
      <c r="Z379" s="1"/>
      <c r="AA379" s="1"/>
      <c r="AB379" s="1"/>
    </row>
    <row r="380" ht="14.25" customHeight="1">
      <c r="A380" s="1"/>
      <c r="B380" s="1"/>
      <c r="C380" s="1"/>
      <c r="D380" s="2"/>
      <c r="E380" s="2"/>
      <c r="F380" s="1"/>
      <c r="G380" s="1"/>
      <c r="H380" s="3"/>
      <c r="I380" s="1"/>
      <c r="J380" s="1"/>
      <c r="K380" s="1"/>
      <c r="L380" s="1"/>
      <c r="M380" s="1"/>
      <c r="N380" s="1"/>
      <c r="O380" s="1"/>
      <c r="P380" s="1"/>
      <c r="Q380" s="1"/>
      <c r="R380" s="1"/>
      <c r="S380" s="1"/>
      <c r="T380" s="1"/>
      <c r="U380" s="1"/>
      <c r="V380" s="1"/>
      <c r="W380" s="1"/>
      <c r="X380" s="1"/>
      <c r="Y380" s="1"/>
      <c r="Z380" s="1"/>
      <c r="AA380" s="1"/>
      <c r="AB380" s="1"/>
    </row>
    <row r="381" ht="14.25" customHeight="1">
      <c r="A381" s="1"/>
      <c r="B381" s="1"/>
      <c r="C381" s="1"/>
      <c r="D381" s="2"/>
      <c r="E381" s="2"/>
      <c r="F381" s="1"/>
      <c r="G381" s="1"/>
      <c r="H381" s="3"/>
      <c r="I381" s="1"/>
      <c r="J381" s="1"/>
      <c r="K381" s="1"/>
      <c r="L381" s="1"/>
      <c r="M381" s="1"/>
      <c r="N381" s="1"/>
      <c r="O381" s="1"/>
      <c r="P381" s="1"/>
      <c r="Q381" s="1"/>
      <c r="R381" s="1"/>
      <c r="S381" s="1"/>
      <c r="T381" s="1"/>
      <c r="U381" s="1"/>
      <c r="V381" s="1"/>
      <c r="W381" s="1"/>
      <c r="X381" s="1"/>
      <c r="Y381" s="1"/>
      <c r="Z381" s="1"/>
      <c r="AA381" s="1"/>
      <c r="AB381" s="1"/>
    </row>
    <row r="382" ht="14.25" customHeight="1">
      <c r="A382" s="1"/>
      <c r="B382" s="1"/>
      <c r="C382" s="1"/>
      <c r="D382" s="2"/>
      <c r="E382" s="2"/>
      <c r="F382" s="1"/>
      <c r="G382" s="1"/>
      <c r="H382" s="3"/>
      <c r="I382" s="1"/>
      <c r="J382" s="1"/>
      <c r="K382" s="1"/>
      <c r="L382" s="1"/>
      <c r="M382" s="1"/>
      <c r="N382" s="1"/>
      <c r="O382" s="1"/>
      <c r="P382" s="1"/>
      <c r="Q382" s="1"/>
      <c r="R382" s="1"/>
      <c r="S382" s="1"/>
      <c r="T382" s="1"/>
      <c r="U382" s="1"/>
      <c r="V382" s="1"/>
      <c r="W382" s="1"/>
      <c r="X382" s="1"/>
      <c r="Y382" s="1"/>
      <c r="Z382" s="1"/>
      <c r="AA382" s="1"/>
      <c r="AB382" s="1"/>
    </row>
    <row r="383" ht="14.25" customHeight="1">
      <c r="A383" s="1"/>
      <c r="B383" s="1"/>
      <c r="C383" s="1"/>
      <c r="D383" s="2"/>
      <c r="E383" s="2"/>
      <c r="F383" s="1"/>
      <c r="G383" s="1"/>
      <c r="H383" s="3"/>
      <c r="I383" s="1"/>
      <c r="J383" s="1"/>
      <c r="K383" s="1"/>
      <c r="L383" s="1"/>
      <c r="M383" s="1"/>
      <c r="N383" s="1"/>
      <c r="O383" s="1"/>
      <c r="P383" s="1"/>
      <c r="Q383" s="1"/>
      <c r="R383" s="1"/>
      <c r="S383" s="1"/>
      <c r="T383" s="1"/>
      <c r="U383" s="1"/>
      <c r="V383" s="1"/>
      <c r="W383" s="1"/>
      <c r="X383" s="1"/>
      <c r="Y383" s="1"/>
      <c r="Z383" s="1"/>
      <c r="AA383" s="1"/>
      <c r="AB383" s="1"/>
    </row>
    <row r="384" ht="14.25" customHeight="1">
      <c r="A384" s="1"/>
      <c r="B384" s="1"/>
      <c r="C384" s="1"/>
      <c r="D384" s="2"/>
      <c r="E384" s="2"/>
      <c r="F384" s="1"/>
      <c r="G384" s="1"/>
      <c r="H384" s="3"/>
      <c r="I384" s="1"/>
      <c r="J384" s="1"/>
      <c r="K384" s="1"/>
      <c r="L384" s="1"/>
      <c r="M384" s="1"/>
      <c r="N384" s="1"/>
      <c r="O384" s="1"/>
      <c r="P384" s="1"/>
      <c r="Q384" s="1"/>
      <c r="R384" s="1"/>
      <c r="S384" s="1"/>
      <c r="T384" s="1"/>
      <c r="U384" s="1"/>
      <c r="V384" s="1"/>
      <c r="W384" s="1"/>
      <c r="X384" s="1"/>
      <c r="Y384" s="1"/>
      <c r="Z384" s="1"/>
      <c r="AA384" s="1"/>
      <c r="AB384" s="1"/>
    </row>
    <row r="385" ht="14.25" customHeight="1">
      <c r="A385" s="1"/>
      <c r="B385" s="1"/>
      <c r="C385" s="1"/>
      <c r="D385" s="2"/>
      <c r="E385" s="2"/>
      <c r="F385" s="1"/>
      <c r="G385" s="1"/>
      <c r="H385" s="3"/>
      <c r="I385" s="1"/>
      <c r="J385" s="1"/>
      <c r="K385" s="1"/>
      <c r="L385" s="1"/>
      <c r="M385" s="1"/>
      <c r="N385" s="1"/>
      <c r="O385" s="1"/>
      <c r="P385" s="1"/>
      <c r="Q385" s="1"/>
      <c r="R385" s="1"/>
      <c r="S385" s="1"/>
      <c r="T385" s="1"/>
      <c r="U385" s="1"/>
      <c r="V385" s="1"/>
      <c r="W385" s="1"/>
      <c r="X385" s="1"/>
      <c r="Y385" s="1"/>
      <c r="Z385" s="1"/>
      <c r="AA385" s="1"/>
      <c r="AB385" s="1"/>
    </row>
    <row r="386" ht="14.25" customHeight="1">
      <c r="A386" s="1"/>
      <c r="B386" s="1"/>
      <c r="C386" s="1"/>
      <c r="D386" s="2"/>
      <c r="E386" s="2"/>
      <c r="F386" s="1"/>
      <c r="G386" s="1"/>
      <c r="H386" s="3"/>
      <c r="I386" s="1"/>
      <c r="J386" s="1"/>
      <c r="K386" s="1"/>
      <c r="L386" s="1"/>
      <c r="M386" s="1"/>
      <c r="N386" s="1"/>
      <c r="O386" s="1"/>
      <c r="P386" s="1"/>
      <c r="Q386" s="1"/>
      <c r="R386" s="1"/>
      <c r="S386" s="1"/>
      <c r="T386" s="1"/>
      <c r="U386" s="1"/>
      <c r="V386" s="1"/>
      <c r="W386" s="1"/>
      <c r="X386" s="1"/>
      <c r="Y386" s="1"/>
      <c r="Z386" s="1"/>
      <c r="AA386" s="1"/>
      <c r="AB386" s="1"/>
    </row>
    <row r="387" ht="14.25" customHeight="1">
      <c r="A387" s="1"/>
      <c r="B387" s="1"/>
      <c r="C387" s="1"/>
      <c r="D387" s="2"/>
      <c r="E387" s="2"/>
      <c r="F387" s="1"/>
      <c r="G387" s="1"/>
      <c r="H387" s="3"/>
      <c r="I387" s="1"/>
      <c r="J387" s="1"/>
      <c r="K387" s="1"/>
      <c r="L387" s="1"/>
      <c r="M387" s="1"/>
      <c r="N387" s="1"/>
      <c r="O387" s="1"/>
      <c r="P387" s="1"/>
      <c r="Q387" s="1"/>
      <c r="R387" s="1"/>
      <c r="S387" s="1"/>
      <c r="T387" s="1"/>
      <c r="U387" s="1"/>
      <c r="V387" s="1"/>
      <c r="W387" s="1"/>
      <c r="X387" s="1"/>
      <c r="Y387" s="1"/>
      <c r="Z387" s="1"/>
      <c r="AA387" s="1"/>
      <c r="AB387" s="1"/>
    </row>
    <row r="388" ht="14.25" customHeight="1">
      <c r="A388" s="1"/>
      <c r="B388" s="1"/>
      <c r="C388" s="1"/>
      <c r="D388" s="2"/>
      <c r="E388" s="2"/>
      <c r="F388" s="1"/>
      <c r="G388" s="1"/>
      <c r="H388" s="3"/>
      <c r="I388" s="1"/>
      <c r="J388" s="1"/>
      <c r="K388" s="1"/>
      <c r="L388" s="1"/>
      <c r="M388" s="1"/>
      <c r="N388" s="1"/>
      <c r="O388" s="1"/>
      <c r="P388" s="1"/>
      <c r="Q388" s="1"/>
      <c r="R388" s="1"/>
      <c r="S388" s="1"/>
      <c r="T388" s="1"/>
      <c r="U388" s="1"/>
      <c r="V388" s="1"/>
      <c r="W388" s="1"/>
      <c r="X388" s="1"/>
      <c r="Y388" s="1"/>
      <c r="Z388" s="1"/>
      <c r="AA388" s="1"/>
      <c r="AB388" s="1"/>
    </row>
    <row r="389" ht="14.25" customHeight="1">
      <c r="A389" s="1"/>
      <c r="B389" s="1"/>
      <c r="C389" s="1"/>
      <c r="D389" s="2"/>
      <c r="E389" s="2"/>
      <c r="F389" s="1"/>
      <c r="G389" s="1"/>
      <c r="H389" s="3"/>
      <c r="I389" s="1"/>
      <c r="J389" s="1"/>
      <c r="K389" s="1"/>
      <c r="L389" s="1"/>
      <c r="M389" s="1"/>
      <c r="N389" s="1"/>
      <c r="O389" s="1"/>
      <c r="P389" s="1"/>
      <c r="Q389" s="1"/>
      <c r="R389" s="1"/>
      <c r="S389" s="1"/>
      <c r="T389" s="1"/>
      <c r="U389" s="1"/>
      <c r="V389" s="1"/>
      <c r="W389" s="1"/>
      <c r="X389" s="1"/>
      <c r="Y389" s="1"/>
      <c r="Z389" s="1"/>
      <c r="AA389" s="1"/>
      <c r="AB389" s="1"/>
    </row>
    <row r="390" ht="14.25" customHeight="1">
      <c r="A390" s="1"/>
      <c r="B390" s="1"/>
      <c r="C390" s="1"/>
      <c r="D390" s="2"/>
      <c r="E390" s="2"/>
      <c r="F390" s="1"/>
      <c r="G390" s="1"/>
      <c r="H390" s="3"/>
      <c r="I390" s="1"/>
      <c r="J390" s="1"/>
      <c r="K390" s="1"/>
      <c r="L390" s="1"/>
      <c r="M390" s="1"/>
      <c r="N390" s="1"/>
      <c r="O390" s="1"/>
      <c r="P390" s="1"/>
      <c r="Q390" s="1"/>
      <c r="R390" s="1"/>
      <c r="S390" s="1"/>
      <c r="T390" s="1"/>
      <c r="U390" s="1"/>
      <c r="V390" s="1"/>
      <c r="W390" s="1"/>
      <c r="X390" s="1"/>
      <c r="Y390" s="1"/>
      <c r="Z390" s="1"/>
      <c r="AA390" s="1"/>
      <c r="AB390" s="1"/>
    </row>
    <row r="391" ht="14.25" customHeight="1">
      <c r="A391" s="1"/>
      <c r="B391" s="1"/>
      <c r="C391" s="1"/>
      <c r="D391" s="2"/>
      <c r="E391" s="2"/>
      <c r="F391" s="1"/>
      <c r="G391" s="1"/>
      <c r="H391" s="3"/>
      <c r="I391" s="1"/>
      <c r="J391" s="1"/>
      <c r="K391" s="1"/>
      <c r="L391" s="1"/>
      <c r="M391" s="1"/>
      <c r="N391" s="1"/>
      <c r="O391" s="1"/>
      <c r="P391" s="1"/>
      <c r="Q391" s="1"/>
      <c r="R391" s="1"/>
      <c r="S391" s="1"/>
      <c r="T391" s="1"/>
      <c r="U391" s="1"/>
      <c r="V391" s="1"/>
      <c r="W391" s="1"/>
      <c r="X391" s="1"/>
      <c r="Y391" s="1"/>
      <c r="Z391" s="1"/>
      <c r="AA391" s="1"/>
      <c r="AB391" s="1"/>
    </row>
    <row r="392" ht="14.25" customHeight="1">
      <c r="A392" s="1"/>
      <c r="B392" s="1"/>
      <c r="C392" s="1"/>
      <c r="D392" s="2"/>
      <c r="E392" s="2"/>
      <c r="F392" s="1"/>
      <c r="G392" s="1"/>
      <c r="H392" s="3"/>
      <c r="I392" s="1"/>
      <c r="J392" s="1"/>
      <c r="K392" s="1"/>
      <c r="L392" s="1"/>
      <c r="M392" s="1"/>
      <c r="N392" s="1"/>
      <c r="O392" s="1"/>
      <c r="P392" s="1"/>
      <c r="Q392" s="1"/>
      <c r="R392" s="1"/>
      <c r="S392" s="1"/>
      <c r="T392" s="1"/>
      <c r="U392" s="1"/>
      <c r="V392" s="1"/>
      <c r="W392" s="1"/>
      <c r="X392" s="1"/>
      <c r="Y392" s="1"/>
      <c r="Z392" s="1"/>
      <c r="AA392" s="1"/>
      <c r="AB392" s="1"/>
    </row>
    <row r="393" ht="14.25" customHeight="1">
      <c r="A393" s="1"/>
      <c r="B393" s="1"/>
      <c r="C393" s="1"/>
      <c r="D393" s="2"/>
      <c r="E393" s="2"/>
      <c r="F393" s="1"/>
      <c r="G393" s="1"/>
      <c r="H393" s="3"/>
      <c r="I393" s="1"/>
      <c r="J393" s="1"/>
      <c r="K393" s="1"/>
      <c r="L393" s="1"/>
      <c r="M393" s="1"/>
      <c r="N393" s="1"/>
      <c r="O393" s="1"/>
      <c r="P393" s="1"/>
      <c r="Q393" s="1"/>
      <c r="R393" s="1"/>
      <c r="S393" s="1"/>
      <c r="T393" s="1"/>
      <c r="U393" s="1"/>
      <c r="V393" s="1"/>
      <c r="W393" s="1"/>
      <c r="X393" s="1"/>
      <c r="Y393" s="1"/>
      <c r="Z393" s="1"/>
      <c r="AA393" s="1"/>
      <c r="AB393" s="1"/>
    </row>
    <row r="394" ht="14.25" customHeight="1">
      <c r="A394" s="1"/>
      <c r="B394" s="1"/>
      <c r="C394" s="1"/>
      <c r="D394" s="2"/>
      <c r="E394" s="2"/>
      <c r="F394" s="1"/>
      <c r="G394" s="1"/>
      <c r="H394" s="3"/>
      <c r="I394" s="1"/>
      <c r="J394" s="1"/>
      <c r="K394" s="1"/>
      <c r="L394" s="1"/>
      <c r="M394" s="1"/>
      <c r="N394" s="1"/>
      <c r="O394" s="1"/>
      <c r="P394" s="1"/>
      <c r="Q394" s="1"/>
      <c r="R394" s="1"/>
      <c r="S394" s="1"/>
      <c r="T394" s="1"/>
      <c r="U394" s="1"/>
      <c r="V394" s="1"/>
      <c r="W394" s="1"/>
      <c r="X394" s="1"/>
      <c r="Y394" s="1"/>
      <c r="Z394" s="1"/>
      <c r="AA394" s="1"/>
      <c r="AB394" s="1"/>
    </row>
    <row r="395" ht="14.25" customHeight="1">
      <c r="A395" s="1"/>
      <c r="B395" s="1"/>
      <c r="C395" s="1"/>
      <c r="D395" s="2"/>
      <c r="E395" s="2"/>
      <c r="F395" s="1"/>
      <c r="G395" s="1"/>
      <c r="H395" s="3"/>
      <c r="I395" s="1"/>
      <c r="J395" s="1"/>
      <c r="K395" s="1"/>
      <c r="L395" s="1"/>
      <c r="M395" s="1"/>
      <c r="N395" s="1"/>
      <c r="O395" s="1"/>
      <c r="P395" s="1"/>
      <c r="Q395" s="1"/>
      <c r="R395" s="1"/>
      <c r="S395" s="1"/>
      <c r="T395" s="1"/>
      <c r="U395" s="1"/>
      <c r="V395" s="1"/>
      <c r="W395" s="1"/>
      <c r="X395" s="1"/>
      <c r="Y395" s="1"/>
      <c r="Z395" s="1"/>
      <c r="AA395" s="1"/>
      <c r="AB395" s="1"/>
    </row>
    <row r="396" ht="14.25" customHeight="1">
      <c r="A396" s="1"/>
      <c r="B396" s="1"/>
      <c r="C396" s="1"/>
      <c r="D396" s="2"/>
      <c r="E396" s="2"/>
      <c r="F396" s="1"/>
      <c r="G396" s="1"/>
      <c r="H396" s="3"/>
      <c r="I396" s="1"/>
      <c r="J396" s="1"/>
      <c r="K396" s="1"/>
      <c r="L396" s="1"/>
      <c r="M396" s="1"/>
      <c r="N396" s="1"/>
      <c r="O396" s="1"/>
      <c r="P396" s="1"/>
      <c r="Q396" s="1"/>
      <c r="R396" s="1"/>
      <c r="S396" s="1"/>
      <c r="T396" s="1"/>
      <c r="U396" s="1"/>
      <c r="V396" s="1"/>
      <c r="W396" s="1"/>
      <c r="X396" s="1"/>
      <c r="Y396" s="1"/>
      <c r="Z396" s="1"/>
      <c r="AA396" s="1"/>
      <c r="AB396" s="1"/>
    </row>
    <row r="397" ht="14.25" customHeight="1">
      <c r="A397" s="1"/>
      <c r="B397" s="1"/>
      <c r="C397" s="1"/>
      <c r="D397" s="2"/>
      <c r="E397" s="2"/>
      <c r="F397" s="1"/>
      <c r="G397" s="1"/>
      <c r="H397" s="3"/>
      <c r="I397" s="1"/>
      <c r="J397" s="1"/>
      <c r="K397" s="1"/>
      <c r="L397" s="1"/>
      <c r="M397" s="1"/>
      <c r="N397" s="1"/>
      <c r="O397" s="1"/>
      <c r="P397" s="1"/>
      <c r="Q397" s="1"/>
      <c r="R397" s="1"/>
      <c r="S397" s="1"/>
      <c r="T397" s="1"/>
      <c r="U397" s="1"/>
      <c r="V397" s="1"/>
      <c r="W397" s="1"/>
      <c r="X397" s="1"/>
      <c r="Y397" s="1"/>
      <c r="Z397" s="1"/>
      <c r="AA397" s="1"/>
      <c r="AB397" s="1"/>
    </row>
    <row r="398" ht="14.25" customHeight="1">
      <c r="A398" s="1"/>
      <c r="B398" s="1"/>
      <c r="C398" s="1"/>
      <c r="D398" s="2"/>
      <c r="E398" s="2"/>
      <c r="F398" s="1"/>
      <c r="G398" s="1"/>
      <c r="H398" s="3"/>
      <c r="I398" s="1"/>
      <c r="J398" s="1"/>
      <c r="K398" s="1"/>
      <c r="L398" s="1"/>
      <c r="M398" s="1"/>
      <c r="N398" s="1"/>
      <c r="O398" s="1"/>
      <c r="P398" s="1"/>
      <c r="Q398" s="1"/>
      <c r="R398" s="1"/>
      <c r="S398" s="1"/>
      <c r="T398" s="1"/>
      <c r="U398" s="1"/>
      <c r="V398" s="1"/>
      <c r="W398" s="1"/>
      <c r="X398" s="1"/>
      <c r="Y398" s="1"/>
      <c r="Z398" s="1"/>
      <c r="AA398" s="1"/>
      <c r="AB398" s="1"/>
    </row>
    <row r="399" ht="14.25" customHeight="1">
      <c r="A399" s="1"/>
      <c r="B399" s="1"/>
      <c r="C399" s="1"/>
      <c r="D399" s="2"/>
      <c r="E399" s="2"/>
      <c r="F399" s="1"/>
      <c r="G399" s="1"/>
      <c r="H399" s="3"/>
      <c r="I399" s="1"/>
      <c r="J399" s="1"/>
      <c r="K399" s="1"/>
      <c r="L399" s="1"/>
      <c r="M399" s="1"/>
      <c r="N399" s="1"/>
      <c r="O399" s="1"/>
      <c r="P399" s="1"/>
      <c r="Q399" s="1"/>
      <c r="R399" s="1"/>
      <c r="S399" s="1"/>
      <c r="T399" s="1"/>
      <c r="U399" s="1"/>
      <c r="V399" s="1"/>
      <c r="W399" s="1"/>
      <c r="X399" s="1"/>
      <c r="Y399" s="1"/>
      <c r="Z399" s="1"/>
      <c r="AA399" s="1"/>
      <c r="AB399" s="1"/>
    </row>
    <row r="400" ht="14.25" customHeight="1">
      <c r="A400" s="1"/>
      <c r="B400" s="1"/>
      <c r="C400" s="1"/>
      <c r="D400" s="2"/>
      <c r="E400" s="2"/>
      <c r="F400" s="1"/>
      <c r="G400" s="1"/>
      <c r="H400" s="3"/>
      <c r="I400" s="1"/>
      <c r="J400" s="1"/>
      <c r="K400" s="1"/>
      <c r="L400" s="1"/>
      <c r="M400" s="1"/>
      <c r="N400" s="1"/>
      <c r="O400" s="1"/>
      <c r="P400" s="1"/>
      <c r="Q400" s="1"/>
      <c r="R400" s="1"/>
      <c r="S400" s="1"/>
      <c r="T400" s="1"/>
      <c r="U400" s="1"/>
      <c r="V400" s="1"/>
      <c r="W400" s="1"/>
      <c r="X400" s="1"/>
      <c r="Y400" s="1"/>
      <c r="Z400" s="1"/>
      <c r="AA400" s="1"/>
      <c r="AB400" s="1"/>
    </row>
    <row r="401" ht="14.25" customHeight="1">
      <c r="A401" s="1"/>
      <c r="B401" s="1"/>
      <c r="C401" s="1"/>
      <c r="D401" s="2"/>
      <c r="E401" s="2"/>
      <c r="F401" s="1"/>
      <c r="G401" s="1"/>
      <c r="H401" s="3"/>
      <c r="I401" s="1"/>
      <c r="J401" s="1"/>
      <c r="K401" s="1"/>
      <c r="L401" s="1"/>
      <c r="M401" s="1"/>
      <c r="N401" s="1"/>
      <c r="O401" s="1"/>
      <c r="P401" s="1"/>
      <c r="Q401" s="1"/>
      <c r="R401" s="1"/>
      <c r="S401" s="1"/>
      <c r="T401" s="1"/>
      <c r="U401" s="1"/>
      <c r="V401" s="1"/>
      <c r="W401" s="1"/>
      <c r="X401" s="1"/>
      <c r="Y401" s="1"/>
      <c r="Z401" s="1"/>
      <c r="AA401" s="1"/>
      <c r="AB401" s="1"/>
    </row>
    <row r="402" ht="14.25" customHeight="1">
      <c r="A402" s="1"/>
      <c r="B402" s="1"/>
      <c r="C402" s="1"/>
      <c r="D402" s="2"/>
      <c r="E402" s="2"/>
      <c r="F402" s="1"/>
      <c r="G402" s="1"/>
      <c r="H402" s="3"/>
      <c r="I402" s="1"/>
      <c r="J402" s="1"/>
      <c r="K402" s="1"/>
      <c r="L402" s="1"/>
      <c r="M402" s="1"/>
      <c r="N402" s="1"/>
      <c r="O402" s="1"/>
      <c r="P402" s="1"/>
      <c r="Q402" s="1"/>
      <c r="R402" s="1"/>
      <c r="S402" s="1"/>
      <c r="T402" s="1"/>
      <c r="U402" s="1"/>
      <c r="V402" s="1"/>
      <c r="W402" s="1"/>
      <c r="X402" s="1"/>
      <c r="Y402" s="1"/>
      <c r="Z402" s="1"/>
      <c r="AA402" s="1"/>
      <c r="AB402" s="1"/>
    </row>
    <row r="403" ht="14.25" customHeight="1">
      <c r="A403" s="1"/>
      <c r="B403" s="1"/>
      <c r="C403" s="1"/>
      <c r="D403" s="2"/>
      <c r="E403" s="2"/>
      <c r="F403" s="1"/>
      <c r="G403" s="1"/>
      <c r="H403" s="3"/>
      <c r="I403" s="1"/>
      <c r="J403" s="1"/>
      <c r="K403" s="1"/>
      <c r="L403" s="1"/>
      <c r="M403" s="1"/>
      <c r="N403" s="1"/>
      <c r="O403" s="1"/>
      <c r="P403" s="1"/>
      <c r="Q403" s="1"/>
      <c r="R403" s="1"/>
      <c r="S403" s="1"/>
      <c r="T403" s="1"/>
      <c r="U403" s="1"/>
      <c r="V403" s="1"/>
      <c r="W403" s="1"/>
      <c r="X403" s="1"/>
      <c r="Y403" s="1"/>
      <c r="Z403" s="1"/>
      <c r="AA403" s="1"/>
      <c r="AB403" s="1"/>
    </row>
    <row r="404" ht="14.25" customHeight="1">
      <c r="A404" s="1"/>
      <c r="B404" s="1"/>
      <c r="C404" s="1"/>
      <c r="D404" s="2"/>
      <c r="E404" s="2"/>
      <c r="F404" s="1"/>
      <c r="G404" s="1"/>
      <c r="H404" s="3"/>
      <c r="I404" s="1"/>
      <c r="J404" s="1"/>
      <c r="K404" s="1"/>
      <c r="L404" s="1"/>
      <c r="M404" s="1"/>
      <c r="N404" s="1"/>
      <c r="O404" s="1"/>
      <c r="P404" s="1"/>
      <c r="Q404" s="1"/>
      <c r="R404" s="1"/>
      <c r="S404" s="1"/>
      <c r="T404" s="1"/>
      <c r="U404" s="1"/>
      <c r="V404" s="1"/>
      <c r="W404" s="1"/>
      <c r="X404" s="1"/>
      <c r="Y404" s="1"/>
      <c r="Z404" s="1"/>
      <c r="AA404" s="1"/>
      <c r="AB404" s="1"/>
    </row>
    <row r="405" ht="14.25" customHeight="1">
      <c r="A405" s="1"/>
      <c r="B405" s="1"/>
      <c r="C405" s="1"/>
      <c r="D405" s="2"/>
      <c r="E405" s="2"/>
      <c r="F405" s="1"/>
      <c r="G405" s="1"/>
      <c r="H405" s="3"/>
      <c r="I405" s="1"/>
      <c r="J405" s="1"/>
      <c r="K405" s="1"/>
      <c r="L405" s="1"/>
      <c r="M405" s="1"/>
      <c r="N405" s="1"/>
      <c r="O405" s="1"/>
      <c r="P405" s="1"/>
      <c r="Q405" s="1"/>
      <c r="R405" s="1"/>
      <c r="S405" s="1"/>
      <c r="T405" s="1"/>
      <c r="U405" s="1"/>
      <c r="V405" s="1"/>
      <c r="W405" s="1"/>
      <c r="X405" s="1"/>
      <c r="Y405" s="1"/>
      <c r="Z405" s="1"/>
      <c r="AA405" s="1"/>
      <c r="AB405" s="1"/>
    </row>
    <row r="406" ht="14.25" customHeight="1">
      <c r="A406" s="1"/>
      <c r="B406" s="1"/>
      <c r="C406" s="1"/>
      <c r="D406" s="2"/>
      <c r="E406" s="2"/>
      <c r="F406" s="1"/>
      <c r="G406" s="1"/>
      <c r="H406" s="3"/>
      <c r="I406" s="1"/>
      <c r="J406" s="1"/>
      <c r="K406" s="1"/>
      <c r="L406" s="1"/>
      <c r="M406" s="1"/>
      <c r="N406" s="1"/>
      <c r="O406" s="1"/>
      <c r="P406" s="1"/>
      <c r="Q406" s="1"/>
      <c r="R406" s="1"/>
      <c r="S406" s="1"/>
      <c r="T406" s="1"/>
      <c r="U406" s="1"/>
      <c r="V406" s="1"/>
      <c r="W406" s="1"/>
      <c r="X406" s="1"/>
      <c r="Y406" s="1"/>
      <c r="Z406" s="1"/>
      <c r="AA406" s="1"/>
      <c r="AB406" s="1"/>
    </row>
    <row r="407" ht="14.25" customHeight="1">
      <c r="A407" s="1"/>
      <c r="B407" s="1"/>
      <c r="C407" s="1"/>
      <c r="D407" s="2"/>
      <c r="E407" s="2"/>
      <c r="F407" s="1"/>
      <c r="G407" s="1"/>
      <c r="H407" s="3"/>
      <c r="I407" s="1"/>
      <c r="J407" s="1"/>
      <c r="K407" s="1"/>
      <c r="L407" s="1"/>
      <c r="M407" s="1"/>
      <c r="N407" s="1"/>
      <c r="O407" s="1"/>
      <c r="P407" s="1"/>
      <c r="Q407" s="1"/>
      <c r="R407" s="1"/>
      <c r="S407" s="1"/>
      <c r="T407" s="1"/>
      <c r="U407" s="1"/>
      <c r="V407" s="1"/>
      <c r="W407" s="1"/>
      <c r="X407" s="1"/>
      <c r="Y407" s="1"/>
      <c r="Z407" s="1"/>
      <c r="AA407" s="1"/>
      <c r="AB407" s="1"/>
    </row>
    <row r="408" ht="14.25" customHeight="1">
      <c r="A408" s="1"/>
      <c r="B408" s="1"/>
      <c r="C408" s="1"/>
      <c r="D408" s="2"/>
      <c r="E408" s="2"/>
      <c r="F408" s="1"/>
      <c r="G408" s="1"/>
      <c r="H408" s="3"/>
      <c r="I408" s="1"/>
      <c r="J408" s="1"/>
      <c r="K408" s="1"/>
      <c r="L408" s="1"/>
      <c r="M408" s="1"/>
      <c r="N408" s="1"/>
      <c r="O408" s="1"/>
      <c r="P408" s="1"/>
      <c r="Q408" s="1"/>
      <c r="R408" s="1"/>
      <c r="S408" s="1"/>
      <c r="T408" s="1"/>
      <c r="U408" s="1"/>
      <c r="V408" s="1"/>
      <c r="W408" s="1"/>
      <c r="X408" s="1"/>
      <c r="Y408" s="1"/>
      <c r="Z408" s="1"/>
      <c r="AA408" s="1"/>
      <c r="AB408" s="1"/>
    </row>
    <row r="409" ht="14.25" customHeight="1">
      <c r="A409" s="1"/>
      <c r="B409" s="1"/>
      <c r="C409" s="1"/>
      <c r="D409" s="2"/>
      <c r="E409" s="2"/>
      <c r="F409" s="1"/>
      <c r="G409" s="1"/>
      <c r="H409" s="3"/>
      <c r="I409" s="1"/>
      <c r="J409" s="1"/>
      <c r="K409" s="1"/>
      <c r="L409" s="1"/>
      <c r="M409" s="1"/>
      <c r="N409" s="1"/>
      <c r="O409" s="1"/>
      <c r="P409" s="1"/>
      <c r="Q409" s="1"/>
      <c r="R409" s="1"/>
      <c r="S409" s="1"/>
      <c r="T409" s="1"/>
      <c r="U409" s="1"/>
      <c r="V409" s="1"/>
      <c r="W409" s="1"/>
      <c r="X409" s="1"/>
      <c r="Y409" s="1"/>
      <c r="Z409" s="1"/>
      <c r="AA409" s="1"/>
      <c r="AB409" s="1"/>
    </row>
    <row r="410" ht="14.25" customHeight="1">
      <c r="A410" s="1"/>
      <c r="B410" s="1"/>
      <c r="C410" s="1"/>
      <c r="D410" s="2"/>
      <c r="E410" s="2"/>
      <c r="F410" s="1"/>
      <c r="G410" s="1"/>
      <c r="H410" s="3"/>
      <c r="I410" s="1"/>
      <c r="J410" s="1"/>
      <c r="K410" s="1"/>
      <c r="L410" s="1"/>
      <c r="M410" s="1"/>
      <c r="N410" s="1"/>
      <c r="O410" s="1"/>
      <c r="P410" s="1"/>
      <c r="Q410" s="1"/>
      <c r="R410" s="1"/>
      <c r="S410" s="1"/>
      <c r="T410" s="1"/>
      <c r="U410" s="1"/>
      <c r="V410" s="1"/>
      <c r="W410" s="1"/>
      <c r="X410" s="1"/>
      <c r="Y410" s="1"/>
      <c r="Z410" s="1"/>
      <c r="AA410" s="1"/>
      <c r="AB410" s="1"/>
    </row>
    <row r="411" ht="14.25" customHeight="1">
      <c r="A411" s="1"/>
      <c r="B411" s="1"/>
      <c r="C411" s="1"/>
      <c r="D411" s="2"/>
      <c r="E411" s="2"/>
      <c r="F411" s="1"/>
      <c r="G411" s="1"/>
      <c r="H411" s="3"/>
      <c r="I411" s="1"/>
      <c r="J411" s="1"/>
      <c r="K411" s="1"/>
      <c r="L411" s="1"/>
      <c r="M411" s="1"/>
      <c r="N411" s="1"/>
      <c r="O411" s="1"/>
      <c r="P411" s="1"/>
      <c r="Q411" s="1"/>
      <c r="R411" s="1"/>
      <c r="S411" s="1"/>
      <c r="T411" s="1"/>
      <c r="U411" s="1"/>
      <c r="V411" s="1"/>
      <c r="W411" s="1"/>
      <c r="X411" s="1"/>
      <c r="Y411" s="1"/>
      <c r="Z411" s="1"/>
      <c r="AA411" s="1"/>
      <c r="AB411" s="1"/>
    </row>
    <row r="412" ht="14.25" customHeight="1">
      <c r="A412" s="1"/>
      <c r="B412" s="1"/>
      <c r="C412" s="1"/>
      <c r="D412" s="2"/>
      <c r="E412" s="2"/>
      <c r="F412" s="1"/>
      <c r="G412" s="1"/>
      <c r="H412" s="3"/>
      <c r="I412" s="1"/>
      <c r="J412" s="1"/>
      <c r="K412" s="1"/>
      <c r="L412" s="1"/>
      <c r="M412" s="1"/>
      <c r="N412" s="1"/>
      <c r="O412" s="1"/>
      <c r="P412" s="1"/>
      <c r="Q412" s="1"/>
      <c r="R412" s="1"/>
      <c r="S412" s="1"/>
      <c r="T412" s="1"/>
      <c r="U412" s="1"/>
      <c r="V412" s="1"/>
      <c r="W412" s="1"/>
      <c r="X412" s="1"/>
      <c r="Y412" s="1"/>
      <c r="Z412" s="1"/>
      <c r="AA412" s="1"/>
      <c r="AB412" s="1"/>
    </row>
    <row r="413" ht="14.25" customHeight="1">
      <c r="A413" s="1"/>
      <c r="B413" s="1"/>
      <c r="C413" s="1"/>
      <c r="D413" s="2"/>
      <c r="E413" s="2"/>
      <c r="F413" s="1"/>
      <c r="G413" s="1"/>
      <c r="H413" s="3"/>
      <c r="I413" s="1"/>
      <c r="J413" s="1"/>
      <c r="K413" s="1"/>
      <c r="L413" s="1"/>
      <c r="M413" s="1"/>
      <c r="N413" s="1"/>
      <c r="O413" s="1"/>
      <c r="P413" s="1"/>
      <c r="Q413" s="1"/>
      <c r="R413" s="1"/>
      <c r="S413" s="1"/>
      <c r="T413" s="1"/>
      <c r="U413" s="1"/>
      <c r="V413" s="1"/>
      <c r="W413" s="1"/>
      <c r="X413" s="1"/>
      <c r="Y413" s="1"/>
      <c r="Z413" s="1"/>
      <c r="AA413" s="1"/>
      <c r="AB413" s="1"/>
    </row>
    <row r="414" ht="14.25" customHeight="1">
      <c r="A414" s="1"/>
      <c r="B414" s="1"/>
      <c r="C414" s="1"/>
      <c r="D414" s="2"/>
      <c r="E414" s="2"/>
      <c r="F414" s="1"/>
      <c r="G414" s="1"/>
      <c r="H414" s="3"/>
      <c r="I414" s="1"/>
      <c r="J414" s="1"/>
      <c r="K414" s="1"/>
      <c r="L414" s="1"/>
      <c r="M414" s="1"/>
      <c r="N414" s="1"/>
      <c r="O414" s="1"/>
      <c r="P414" s="1"/>
      <c r="Q414" s="1"/>
      <c r="R414" s="1"/>
      <c r="S414" s="1"/>
      <c r="T414" s="1"/>
      <c r="U414" s="1"/>
      <c r="V414" s="1"/>
      <c r="W414" s="1"/>
      <c r="X414" s="1"/>
      <c r="Y414" s="1"/>
      <c r="Z414" s="1"/>
      <c r="AA414" s="1"/>
      <c r="AB414" s="1"/>
    </row>
    <row r="415" ht="14.25" customHeight="1">
      <c r="A415" s="1"/>
      <c r="B415" s="1"/>
      <c r="C415" s="1"/>
      <c r="D415" s="2"/>
      <c r="E415" s="2"/>
      <c r="F415" s="1"/>
      <c r="G415" s="1"/>
      <c r="H415" s="3"/>
      <c r="I415" s="1"/>
      <c r="J415" s="1"/>
      <c r="K415" s="1"/>
      <c r="L415" s="1"/>
      <c r="M415" s="1"/>
      <c r="N415" s="1"/>
      <c r="O415" s="1"/>
      <c r="P415" s="1"/>
      <c r="Q415" s="1"/>
      <c r="R415" s="1"/>
      <c r="S415" s="1"/>
      <c r="T415" s="1"/>
      <c r="U415" s="1"/>
      <c r="V415" s="1"/>
      <c r="W415" s="1"/>
      <c r="X415" s="1"/>
      <c r="Y415" s="1"/>
      <c r="Z415" s="1"/>
      <c r="AA415" s="1"/>
      <c r="AB415" s="1"/>
    </row>
    <row r="416" ht="14.25" customHeight="1">
      <c r="A416" s="1"/>
      <c r="B416" s="1"/>
      <c r="C416" s="1"/>
      <c r="D416" s="2"/>
      <c r="E416" s="2"/>
      <c r="F416" s="1"/>
      <c r="G416" s="1"/>
      <c r="H416" s="3"/>
      <c r="I416" s="1"/>
      <c r="J416" s="1"/>
      <c r="K416" s="1"/>
      <c r="L416" s="1"/>
      <c r="M416" s="1"/>
      <c r="N416" s="1"/>
      <c r="O416" s="1"/>
      <c r="P416" s="1"/>
      <c r="Q416" s="1"/>
      <c r="R416" s="1"/>
      <c r="S416" s="1"/>
      <c r="T416" s="1"/>
      <c r="U416" s="1"/>
      <c r="V416" s="1"/>
      <c r="W416" s="1"/>
      <c r="X416" s="1"/>
      <c r="Y416" s="1"/>
      <c r="Z416" s="1"/>
      <c r="AA416" s="1"/>
      <c r="AB416" s="1"/>
    </row>
    <row r="417" ht="14.25" customHeight="1">
      <c r="A417" s="1"/>
      <c r="B417" s="1"/>
      <c r="C417" s="1"/>
      <c r="D417" s="2"/>
      <c r="E417" s="2"/>
      <c r="F417" s="1"/>
      <c r="G417" s="1"/>
      <c r="H417" s="3"/>
      <c r="I417" s="1"/>
      <c r="J417" s="1"/>
      <c r="K417" s="1"/>
      <c r="L417" s="1"/>
      <c r="M417" s="1"/>
      <c r="N417" s="1"/>
      <c r="O417" s="1"/>
      <c r="P417" s="1"/>
      <c r="Q417" s="1"/>
      <c r="R417" s="1"/>
      <c r="S417" s="1"/>
      <c r="T417" s="1"/>
      <c r="U417" s="1"/>
      <c r="V417" s="1"/>
      <c r="W417" s="1"/>
      <c r="X417" s="1"/>
      <c r="Y417" s="1"/>
      <c r="Z417" s="1"/>
      <c r="AA417" s="1"/>
      <c r="AB417" s="1"/>
    </row>
    <row r="418" ht="14.25" customHeight="1">
      <c r="A418" s="1"/>
      <c r="B418" s="1"/>
      <c r="C418" s="1"/>
      <c r="D418" s="2"/>
      <c r="E418" s="2"/>
      <c r="F418" s="1"/>
      <c r="G418" s="1"/>
      <c r="H418" s="3"/>
      <c r="I418" s="1"/>
      <c r="J418" s="1"/>
      <c r="K418" s="1"/>
      <c r="L418" s="1"/>
      <c r="M418" s="1"/>
      <c r="N418" s="1"/>
      <c r="O418" s="1"/>
      <c r="P418" s="1"/>
      <c r="Q418" s="1"/>
      <c r="R418" s="1"/>
      <c r="S418" s="1"/>
      <c r="T418" s="1"/>
      <c r="U418" s="1"/>
      <c r="V418" s="1"/>
      <c r="W418" s="1"/>
      <c r="X418" s="1"/>
      <c r="Y418" s="1"/>
      <c r="Z418" s="1"/>
      <c r="AA418" s="1"/>
      <c r="AB418" s="1"/>
    </row>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B112:C112"/>
    <mergeCell ref="B118:C118"/>
    <mergeCell ref="B124:C124"/>
    <mergeCell ref="B129:C129"/>
    <mergeCell ref="B135:C135"/>
    <mergeCell ref="B141:C141"/>
    <mergeCell ref="B147:C147"/>
    <mergeCell ref="B153:C153"/>
    <mergeCell ref="B120:H120"/>
    <mergeCell ref="B126:H126"/>
    <mergeCell ref="B131:H131"/>
    <mergeCell ref="B137:H137"/>
    <mergeCell ref="B143:H143"/>
    <mergeCell ref="B149:H149"/>
    <mergeCell ref="B155:H155"/>
    <mergeCell ref="I165:I168"/>
    <mergeCell ref="I173:I175"/>
    <mergeCell ref="J173:J175"/>
    <mergeCell ref="I157:I160"/>
    <mergeCell ref="J157:J160"/>
    <mergeCell ref="B161:C161"/>
    <mergeCell ref="B163:H163"/>
    <mergeCell ref="J165:J168"/>
    <mergeCell ref="B169:C169"/>
    <mergeCell ref="B171:H171"/>
    <mergeCell ref="B203:H203"/>
    <mergeCell ref="B209:H209"/>
    <mergeCell ref="B212:C212"/>
    <mergeCell ref="B214:H214"/>
    <mergeCell ref="B218:C218"/>
    <mergeCell ref="B176:C176"/>
    <mergeCell ref="B178:H178"/>
    <mergeCell ref="B181:C181"/>
    <mergeCell ref="B183:H183"/>
    <mergeCell ref="B186:C186"/>
    <mergeCell ref="B189:H189"/>
    <mergeCell ref="B195:H195"/>
    <mergeCell ref="B2:H2"/>
    <mergeCell ref="B5:C5"/>
    <mergeCell ref="B7:H7"/>
    <mergeCell ref="B11:C11"/>
    <mergeCell ref="B13:H13"/>
    <mergeCell ref="B17:C17"/>
    <mergeCell ref="B19:H19"/>
    <mergeCell ref="B23:C23"/>
    <mergeCell ref="B25:H25"/>
    <mergeCell ref="B28:C28"/>
    <mergeCell ref="B30:H30"/>
    <mergeCell ref="I32:I35"/>
    <mergeCell ref="J32:J35"/>
    <mergeCell ref="B38:H38"/>
    <mergeCell ref="B36:C36"/>
    <mergeCell ref="B41:C41"/>
    <mergeCell ref="B43:H43"/>
    <mergeCell ref="B46:C46"/>
    <mergeCell ref="B48:H48"/>
    <mergeCell ref="B51:C51"/>
    <mergeCell ref="B53:H53"/>
    <mergeCell ref="B57:C57"/>
    <mergeCell ref="B60:H60"/>
    <mergeCell ref="B63:C63"/>
    <mergeCell ref="B65:H65"/>
    <mergeCell ref="B68:C68"/>
    <mergeCell ref="B70:H70"/>
    <mergeCell ref="B76:H76"/>
    <mergeCell ref="B74:C74"/>
    <mergeCell ref="B80:C80"/>
    <mergeCell ref="B86:C86"/>
    <mergeCell ref="B91:C91"/>
    <mergeCell ref="B96:C96"/>
    <mergeCell ref="B101:C101"/>
    <mergeCell ref="B106:C106"/>
    <mergeCell ref="B82:H82"/>
    <mergeCell ref="B88:H88"/>
    <mergeCell ref="B93:H93"/>
    <mergeCell ref="B98:H98"/>
    <mergeCell ref="B103:H103"/>
    <mergeCell ref="B108:H108"/>
    <mergeCell ref="B114:H114"/>
    <mergeCell ref="B193:C193"/>
    <mergeCell ref="B201:C201"/>
    <mergeCell ref="B207:C20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showGridLines="0" workbookViewId="0">
      <pane ySplit="27.0" topLeftCell="A28" activePane="bottomLeft" state="frozen"/>
      <selection activeCell="B29" sqref="B29" pane="bottomLeft"/>
    </sheetView>
  </sheetViews>
  <sheetFormatPr customHeight="1" defaultColWidth="14.43" defaultRowHeight="15.0"/>
  <cols>
    <col customWidth="1" min="1" max="2" width="5.14"/>
    <col customWidth="1" min="3" max="3" width="43.57"/>
    <col customWidth="1" min="4" max="4" width="22.29"/>
    <col customWidth="1" min="5" max="5" width="21.0"/>
    <col customWidth="1" min="6" max="8" width="18.57"/>
    <col customWidth="1" min="9" max="10" width="15.29"/>
    <col customWidth="1" min="11" max="26" width="9.0"/>
  </cols>
  <sheetData>
    <row r="1" ht="14.25" hidden="1" customHeight="1">
      <c r="E1" s="153"/>
      <c r="F1" s="154"/>
      <c r="G1" s="155"/>
      <c r="H1" s="154"/>
    </row>
    <row r="2" ht="14.25" hidden="1" customHeight="1">
      <c r="E2" s="153"/>
      <c r="F2" s="154"/>
      <c r="G2" s="155"/>
      <c r="H2" s="154"/>
    </row>
    <row r="3" ht="14.25" hidden="1" customHeight="1">
      <c r="C3" s="156" t="s">
        <v>48</v>
      </c>
      <c r="E3" s="153"/>
      <c r="F3" s="154"/>
      <c r="G3" s="155"/>
      <c r="H3" s="154"/>
    </row>
    <row r="4" ht="14.25" hidden="1" customHeight="1">
      <c r="E4" s="153"/>
      <c r="F4" s="154"/>
      <c r="G4" s="155"/>
      <c r="H4" s="154"/>
    </row>
    <row r="5" ht="14.25" hidden="1" customHeight="1">
      <c r="C5" s="157" t="s">
        <v>49</v>
      </c>
      <c r="D5" s="158"/>
      <c r="E5" s="3" t="s">
        <v>50</v>
      </c>
      <c r="F5" s="154"/>
      <c r="G5" s="155"/>
      <c r="H5" s="154"/>
    </row>
    <row r="6" ht="14.25" hidden="1" customHeight="1">
      <c r="C6" s="158" t="s">
        <v>51</v>
      </c>
      <c r="D6" s="159">
        <v>52.0</v>
      </c>
      <c r="E6" s="153" t="s">
        <v>52</v>
      </c>
      <c r="F6" s="154"/>
      <c r="G6" s="155"/>
      <c r="H6" s="154"/>
    </row>
    <row r="7" ht="14.25" hidden="1" customHeight="1">
      <c r="C7" s="158" t="s">
        <v>53</v>
      </c>
      <c r="D7" s="159">
        <f>D6/12</f>
        <v>4.333333333</v>
      </c>
      <c r="E7" s="153" t="s">
        <v>52</v>
      </c>
      <c r="F7" s="154"/>
      <c r="G7" s="155"/>
      <c r="H7" s="154"/>
    </row>
    <row r="8" ht="14.25" hidden="1" customHeight="1">
      <c r="C8" s="158" t="s">
        <v>54</v>
      </c>
      <c r="D8" s="159">
        <f>D7*6</f>
        <v>26</v>
      </c>
      <c r="E8" s="153" t="s">
        <v>55</v>
      </c>
      <c r="F8" s="154"/>
      <c r="G8" s="155"/>
      <c r="H8" s="154"/>
    </row>
    <row r="9" ht="14.25" hidden="1" customHeight="1">
      <c r="C9" s="158" t="s">
        <v>56</v>
      </c>
      <c r="D9" s="160">
        <v>8.0</v>
      </c>
      <c r="E9" s="153" t="s">
        <v>57</v>
      </c>
      <c r="F9" s="154"/>
      <c r="G9" s="155"/>
      <c r="H9" s="154"/>
    </row>
    <row r="10" ht="14.25" hidden="1" customHeight="1">
      <c r="E10" s="153"/>
      <c r="F10" s="154"/>
      <c r="G10" s="155"/>
      <c r="H10" s="154"/>
    </row>
    <row r="11" ht="14.25" hidden="1" customHeight="1">
      <c r="C11" s="161" t="s">
        <v>58</v>
      </c>
      <c r="E11" s="153"/>
      <c r="F11" s="154"/>
      <c r="G11" s="155"/>
      <c r="H11" s="153"/>
      <c r="I11" s="158"/>
    </row>
    <row r="12" ht="14.25" hidden="1" customHeight="1">
      <c r="C12" s="162" t="s">
        <v>59</v>
      </c>
      <c r="E12" s="153"/>
      <c r="F12" s="154"/>
      <c r="G12" s="155"/>
      <c r="H12" s="153"/>
      <c r="I12" s="158"/>
    </row>
    <row r="13" ht="14.25" hidden="1" customHeight="1">
      <c r="E13" s="153"/>
      <c r="F13" s="154"/>
      <c r="G13" s="155"/>
      <c r="H13" s="153"/>
      <c r="I13" s="158"/>
    </row>
    <row r="14" ht="14.25" hidden="1" customHeight="1">
      <c r="E14" s="153"/>
      <c r="F14" s="154"/>
      <c r="G14" s="155"/>
      <c r="H14" s="153"/>
      <c r="I14" s="158"/>
    </row>
    <row r="15" ht="14.25" hidden="1" customHeight="1">
      <c r="C15" s="156" t="s">
        <v>60</v>
      </c>
      <c r="E15" s="153"/>
      <c r="F15" s="154"/>
      <c r="G15" s="155"/>
      <c r="H15" s="153"/>
      <c r="I15" s="158"/>
    </row>
    <row r="16" ht="14.25" hidden="1" customHeight="1">
      <c r="D16" s="163" t="s">
        <v>61</v>
      </c>
      <c r="E16" s="163" t="s">
        <v>62</v>
      </c>
      <c r="F16" s="154"/>
      <c r="G16" s="155"/>
      <c r="H16" s="153"/>
      <c r="I16" s="158"/>
    </row>
    <row r="17" ht="14.25" hidden="1" customHeight="1">
      <c r="C17" s="164" t="s">
        <v>63</v>
      </c>
      <c r="D17" s="165">
        <v>35.0</v>
      </c>
      <c r="E17" s="166">
        <f>D17*1.4</f>
        <v>49</v>
      </c>
      <c r="F17" s="154"/>
      <c r="G17" s="155"/>
      <c r="H17" s="153"/>
      <c r="I17" s="158"/>
    </row>
    <row r="18" ht="14.25" hidden="1" customHeight="1">
      <c r="C18" s="167" t="s">
        <v>64</v>
      </c>
      <c r="D18" s="168">
        <f t="shared" ref="D18:E18" si="1">D17/3</f>
        <v>11.66666667</v>
      </c>
      <c r="E18" s="169">
        <f t="shared" si="1"/>
        <v>16.33333333</v>
      </c>
      <c r="F18" s="154"/>
      <c r="G18" s="155"/>
      <c r="H18" s="153"/>
      <c r="I18" s="158"/>
    </row>
    <row r="19" ht="14.25" hidden="1" customHeight="1">
      <c r="C19" s="167" t="s">
        <v>65</v>
      </c>
      <c r="D19" s="168">
        <v>17.0</v>
      </c>
      <c r="E19" s="169">
        <f>E21/1.3</f>
        <v>56</v>
      </c>
      <c r="F19" s="154"/>
      <c r="G19" s="155"/>
      <c r="H19" s="154"/>
    </row>
    <row r="20" ht="14.25" hidden="1" customHeight="1">
      <c r="C20" s="170" t="s">
        <v>66</v>
      </c>
      <c r="D20" s="171">
        <v>1.0</v>
      </c>
      <c r="E20" s="172">
        <f t="shared" ref="E20:E24" si="2">D20*1.4</f>
        <v>1.4</v>
      </c>
      <c r="F20" s="154"/>
      <c r="G20" s="155"/>
      <c r="H20" s="154"/>
    </row>
    <row r="21" ht="14.25" hidden="1" customHeight="1">
      <c r="C21" s="173" t="s">
        <v>67</v>
      </c>
      <c r="D21" s="174">
        <v>52.0</v>
      </c>
      <c r="E21" s="175">
        <f t="shared" si="2"/>
        <v>72.8</v>
      </c>
      <c r="F21" s="154"/>
      <c r="G21" s="155"/>
      <c r="H21" s="154"/>
    </row>
    <row r="22" ht="14.25" hidden="1" customHeight="1">
      <c r="C22" s="176" t="s">
        <v>68</v>
      </c>
      <c r="D22" s="168">
        <v>18790.1627777778</v>
      </c>
      <c r="E22" s="177">
        <f t="shared" si="2"/>
        <v>26306.22789</v>
      </c>
      <c r="F22" s="154"/>
      <c r="G22" s="155"/>
      <c r="H22" s="154"/>
    </row>
    <row r="23" ht="14.25" hidden="1" customHeight="1">
      <c r="C23" s="176" t="s">
        <v>69</v>
      </c>
      <c r="D23" s="178">
        <v>1013938.81222222</v>
      </c>
      <c r="E23" s="177">
        <f t="shared" si="2"/>
        <v>1419514.337</v>
      </c>
      <c r="F23" s="154"/>
      <c r="G23" s="155"/>
      <c r="H23" s="154"/>
    </row>
    <row r="24" ht="14.25" hidden="1" customHeight="1">
      <c r="C24" s="176" t="s">
        <v>70</v>
      </c>
      <c r="D24" s="179">
        <f>D21/(1.2*1.1*1)</f>
        <v>39.39393939</v>
      </c>
      <c r="E24" s="180">
        <f t="shared" si="2"/>
        <v>55.15151515</v>
      </c>
      <c r="F24" s="154"/>
      <c r="G24" s="155"/>
      <c r="H24" s="154"/>
    </row>
    <row r="25" ht="14.25" hidden="1" customHeight="1">
      <c r="E25" s="153"/>
      <c r="F25" s="154"/>
      <c r="G25" s="155"/>
      <c r="H25" s="154"/>
    </row>
    <row r="26" ht="14.25" customHeight="1">
      <c r="C26" s="156" t="s">
        <v>71</v>
      </c>
      <c r="E26" s="153"/>
      <c r="F26" s="154"/>
      <c r="G26" s="155"/>
      <c r="H26" s="154"/>
    </row>
    <row r="27" ht="51.0" customHeight="1">
      <c r="A27" s="181"/>
      <c r="B27" s="182" t="s">
        <v>72</v>
      </c>
      <c r="C27" s="182" t="s">
        <v>73</v>
      </c>
      <c r="D27" s="183" t="s">
        <v>74</v>
      </c>
      <c r="E27" s="183" t="s">
        <v>75</v>
      </c>
      <c r="F27" s="184" t="s">
        <v>76</v>
      </c>
      <c r="G27" s="185" t="s">
        <v>77</v>
      </c>
      <c r="H27" s="186" t="s">
        <v>78</v>
      </c>
      <c r="I27" s="181"/>
      <c r="J27" s="181"/>
      <c r="K27" s="181"/>
      <c r="L27" s="181"/>
      <c r="M27" s="181"/>
      <c r="N27" s="181"/>
      <c r="O27" s="181"/>
      <c r="P27" s="181"/>
      <c r="Q27" s="181"/>
      <c r="R27" s="181"/>
      <c r="S27" s="181"/>
      <c r="T27" s="181"/>
      <c r="U27" s="181"/>
      <c r="V27" s="181"/>
      <c r="W27" s="181"/>
      <c r="X27" s="181"/>
      <c r="Y27" s="181"/>
      <c r="Z27" s="181"/>
    </row>
    <row r="28" ht="24.0" customHeight="1">
      <c r="A28" s="187"/>
      <c r="B28" s="188">
        <v>1.0</v>
      </c>
      <c r="C28" s="189"/>
      <c r="D28" s="190" t="s">
        <v>79</v>
      </c>
      <c r="E28" s="191" t="str">
        <f t="shared" ref="E28:E31" si="3">#REF!</f>
        <v>#REF!</v>
      </c>
      <c r="F28" s="192" t="str">
        <f t="shared" ref="F28:F31" si="4">E28/60</f>
        <v>#REF!</v>
      </c>
      <c r="G28" s="193" t="str">
        <f t="shared" ref="G28:G31" si="5">#REF!</f>
        <v>#REF!</v>
      </c>
      <c r="H28" s="193" t="str">
        <f t="shared" ref="H28:H31" si="6">G28*8</f>
        <v>#REF!</v>
      </c>
      <c r="I28" s="187"/>
      <c r="J28" s="187"/>
      <c r="K28" s="187"/>
      <c r="L28" s="187"/>
      <c r="M28" s="187"/>
      <c r="N28" s="187"/>
      <c r="O28" s="187"/>
      <c r="P28" s="187"/>
      <c r="Q28" s="187"/>
      <c r="R28" s="187"/>
      <c r="S28" s="187"/>
      <c r="T28" s="187"/>
      <c r="U28" s="187"/>
      <c r="V28" s="187"/>
      <c r="W28" s="187"/>
      <c r="X28" s="187"/>
      <c r="Y28" s="187"/>
      <c r="Z28" s="187"/>
    </row>
    <row r="29" ht="24.0" customHeight="1">
      <c r="A29" s="187"/>
      <c r="B29" s="194"/>
      <c r="C29" s="189"/>
      <c r="D29" s="195" t="s">
        <v>80</v>
      </c>
      <c r="E29" s="196" t="str">
        <f t="shared" si="3"/>
        <v>#REF!</v>
      </c>
      <c r="F29" s="197" t="str">
        <f t="shared" si="4"/>
        <v>#REF!</v>
      </c>
      <c r="G29" s="198" t="str">
        <f t="shared" si="5"/>
        <v>#REF!</v>
      </c>
      <c r="H29" s="198" t="str">
        <f t="shared" si="6"/>
        <v>#REF!</v>
      </c>
      <c r="I29" s="187"/>
      <c r="J29" s="187"/>
      <c r="K29" s="187"/>
      <c r="L29" s="187"/>
      <c r="M29" s="187"/>
      <c r="N29" s="187"/>
      <c r="O29" s="187"/>
      <c r="P29" s="187"/>
      <c r="Q29" s="187"/>
      <c r="R29" s="187"/>
      <c r="S29" s="187"/>
      <c r="T29" s="187"/>
      <c r="U29" s="187"/>
      <c r="V29" s="187"/>
      <c r="W29" s="187"/>
      <c r="X29" s="187"/>
      <c r="Y29" s="187"/>
      <c r="Z29" s="187"/>
    </row>
    <row r="30" ht="24.0" customHeight="1">
      <c r="A30" s="187"/>
      <c r="B30" s="194"/>
      <c r="C30" s="189"/>
      <c r="D30" s="195" t="s">
        <v>81</v>
      </c>
      <c r="E30" s="196" t="str">
        <f t="shared" si="3"/>
        <v>#REF!</v>
      </c>
      <c r="F30" s="197" t="str">
        <f t="shared" si="4"/>
        <v>#REF!</v>
      </c>
      <c r="G30" s="198" t="str">
        <f t="shared" si="5"/>
        <v>#REF!</v>
      </c>
      <c r="H30" s="198" t="str">
        <f t="shared" si="6"/>
        <v>#REF!</v>
      </c>
      <c r="I30" s="187"/>
      <c r="J30" s="187"/>
      <c r="K30" s="187"/>
      <c r="L30" s="187"/>
      <c r="M30" s="187"/>
      <c r="N30" s="187"/>
      <c r="O30" s="187"/>
      <c r="P30" s="187"/>
      <c r="Q30" s="187"/>
      <c r="R30" s="187"/>
      <c r="S30" s="187"/>
      <c r="T30" s="187"/>
      <c r="U30" s="187"/>
      <c r="V30" s="187"/>
      <c r="W30" s="187"/>
      <c r="X30" s="187"/>
      <c r="Y30" s="187"/>
      <c r="Z30" s="187"/>
    </row>
    <row r="31" ht="24.0" customHeight="1">
      <c r="A31" s="187"/>
      <c r="B31" s="199"/>
      <c r="C31" s="189"/>
      <c r="D31" s="195" t="s">
        <v>82</v>
      </c>
      <c r="E31" s="196" t="str">
        <f t="shared" si="3"/>
        <v>#REF!</v>
      </c>
      <c r="F31" s="197" t="str">
        <f t="shared" si="4"/>
        <v>#REF!</v>
      </c>
      <c r="G31" s="200" t="str">
        <f t="shared" si="5"/>
        <v>#REF!</v>
      </c>
      <c r="H31" s="198" t="str">
        <f t="shared" si="6"/>
        <v>#REF!</v>
      </c>
      <c r="I31" s="187"/>
      <c r="J31" s="187"/>
      <c r="K31" s="187"/>
      <c r="L31" s="187"/>
      <c r="M31" s="187"/>
      <c r="N31" s="187"/>
      <c r="O31" s="187"/>
      <c r="P31" s="187"/>
      <c r="Q31" s="187"/>
      <c r="R31" s="187"/>
      <c r="S31" s="187"/>
      <c r="T31" s="187"/>
      <c r="U31" s="187"/>
      <c r="V31" s="187"/>
      <c r="W31" s="187"/>
      <c r="X31" s="187"/>
      <c r="Y31" s="187"/>
      <c r="Z31" s="187"/>
    </row>
    <row r="32" ht="6.75" customHeight="1">
      <c r="A32" s="187"/>
      <c r="B32" s="201"/>
      <c r="C32" s="202"/>
      <c r="D32" s="201"/>
      <c r="E32" s="203"/>
      <c r="F32" s="204"/>
      <c r="G32" s="205"/>
      <c r="H32" s="205"/>
      <c r="I32" s="206"/>
      <c r="J32" s="206"/>
      <c r="K32" s="187"/>
      <c r="L32" s="187"/>
      <c r="M32" s="187"/>
      <c r="N32" s="187"/>
      <c r="O32" s="187"/>
      <c r="P32" s="187"/>
      <c r="Q32" s="187"/>
      <c r="R32" s="187"/>
      <c r="S32" s="187"/>
      <c r="T32" s="187"/>
      <c r="U32" s="187"/>
      <c r="V32" s="187"/>
      <c r="W32" s="187"/>
      <c r="X32" s="187"/>
      <c r="Y32" s="187"/>
      <c r="Z32" s="187"/>
    </row>
    <row r="33" ht="24.0" customHeight="1">
      <c r="A33" s="187"/>
      <c r="B33" s="207">
        <v>2.0</v>
      </c>
      <c r="C33" s="208"/>
      <c r="D33" s="209" t="s">
        <v>80</v>
      </c>
      <c r="E33" s="191" t="str">
        <f>'2. PUTAWAY'!N36</f>
        <v>#REF!</v>
      </c>
      <c r="F33" s="192" t="str">
        <f t="shared" ref="F33:F37" si="7">E33/60</f>
        <v>#REF!</v>
      </c>
      <c r="G33" s="193" t="str">
        <f>'2. PUTAWAY'!N37</f>
        <v>#REF!</v>
      </c>
      <c r="H33" s="193" t="str">
        <f t="shared" ref="H33:H37" si="8">G33*8</f>
        <v>#REF!</v>
      </c>
      <c r="I33" s="206"/>
      <c r="J33" s="206"/>
      <c r="K33" s="187"/>
      <c r="L33" s="187"/>
      <c r="M33" s="187"/>
      <c r="N33" s="187"/>
      <c r="O33" s="187"/>
      <c r="P33" s="187"/>
      <c r="Q33" s="187"/>
      <c r="R33" s="187"/>
      <c r="S33" s="187"/>
      <c r="T33" s="187"/>
      <c r="U33" s="187"/>
      <c r="V33" s="187"/>
      <c r="W33" s="187"/>
      <c r="X33" s="187"/>
      <c r="Y33" s="187"/>
      <c r="Z33" s="187"/>
    </row>
    <row r="34" ht="24.0" customHeight="1">
      <c r="A34" s="187"/>
      <c r="B34" s="194"/>
      <c r="C34" s="194"/>
      <c r="D34" s="210" t="s">
        <v>82</v>
      </c>
      <c r="E34" s="196" t="str">
        <f>'2. PUTAWAY'!N29</f>
        <v>#REF!</v>
      </c>
      <c r="F34" s="197" t="str">
        <f t="shared" si="7"/>
        <v>#REF!</v>
      </c>
      <c r="G34" s="200" t="str">
        <f>'2. PUTAWAY'!N30</f>
        <v>#REF!</v>
      </c>
      <c r="H34" s="198" t="str">
        <f t="shared" si="8"/>
        <v>#REF!</v>
      </c>
      <c r="I34" s="206"/>
      <c r="J34" s="206"/>
      <c r="K34" s="187"/>
      <c r="L34" s="187"/>
      <c r="M34" s="187"/>
      <c r="N34" s="187"/>
      <c r="O34" s="187"/>
      <c r="P34" s="187"/>
      <c r="Q34" s="187"/>
      <c r="R34" s="187"/>
      <c r="S34" s="187"/>
      <c r="T34" s="187"/>
      <c r="U34" s="187"/>
      <c r="V34" s="187"/>
      <c r="W34" s="187"/>
      <c r="X34" s="187"/>
      <c r="Y34" s="187"/>
      <c r="Z34" s="187"/>
    </row>
    <row r="35" ht="24.0" customHeight="1">
      <c r="A35" s="187"/>
      <c r="B35" s="194"/>
      <c r="C35" s="199"/>
      <c r="D35" s="210" t="s">
        <v>79</v>
      </c>
      <c r="E35" s="196" t="str">
        <f>'2. PUTAWAY'!N43</f>
        <v>#REF!</v>
      </c>
      <c r="F35" s="197" t="str">
        <f t="shared" si="7"/>
        <v>#REF!</v>
      </c>
      <c r="G35" s="198" t="str">
        <f>'2. PUTAWAY'!N44</f>
        <v>#REF!</v>
      </c>
      <c r="H35" s="198" t="str">
        <f t="shared" si="8"/>
        <v>#REF!</v>
      </c>
      <c r="I35" s="206"/>
      <c r="J35" s="206"/>
      <c r="K35" s="187"/>
      <c r="L35" s="187"/>
      <c r="M35" s="187"/>
      <c r="N35" s="187"/>
      <c r="O35" s="187"/>
      <c r="P35" s="187"/>
      <c r="Q35" s="187"/>
      <c r="R35" s="187"/>
      <c r="S35" s="187"/>
      <c r="T35" s="187"/>
      <c r="U35" s="187"/>
      <c r="V35" s="187"/>
      <c r="W35" s="187"/>
      <c r="X35" s="187"/>
      <c r="Y35" s="187"/>
      <c r="Z35" s="187"/>
    </row>
    <row r="36" ht="30.0" hidden="1" customHeight="1">
      <c r="A36" s="187"/>
      <c r="B36" s="194"/>
      <c r="C36" s="211"/>
      <c r="D36" s="212" t="s">
        <v>80</v>
      </c>
      <c r="E36" s="213" t="str">
        <f>'2. PUTAWAY'!N36</f>
        <v>#REF!</v>
      </c>
      <c r="F36" s="214" t="str">
        <f t="shared" si="7"/>
        <v>#REF!</v>
      </c>
      <c r="G36" s="215" t="str">
        <f>'2. PUTAWAY'!N75</f>
        <v>#REF!</v>
      </c>
      <c r="H36" s="215" t="str">
        <f t="shared" si="8"/>
        <v>#REF!</v>
      </c>
      <c r="I36" s="206"/>
      <c r="J36" s="206"/>
      <c r="K36" s="187"/>
      <c r="L36" s="187"/>
      <c r="M36" s="187"/>
      <c r="N36" s="187"/>
      <c r="O36" s="187"/>
      <c r="P36" s="187"/>
      <c r="Q36" s="187"/>
      <c r="R36" s="187"/>
      <c r="S36" s="187"/>
      <c r="T36" s="187"/>
      <c r="U36" s="187"/>
      <c r="V36" s="187"/>
      <c r="W36" s="187"/>
      <c r="X36" s="187"/>
      <c r="Y36" s="187"/>
      <c r="Z36" s="187"/>
    </row>
    <row r="37" ht="30.0" hidden="1" customHeight="1">
      <c r="A37" s="187"/>
      <c r="B37" s="199"/>
      <c r="C37" s="199"/>
      <c r="D37" s="212" t="s">
        <v>79</v>
      </c>
      <c r="E37" s="213" t="str">
        <f>'2. PUTAWAY'!N43</f>
        <v>#REF!</v>
      </c>
      <c r="F37" s="214" t="str">
        <f t="shared" si="7"/>
        <v>#REF!</v>
      </c>
      <c r="G37" s="215" t="str">
        <f>'2. PUTAWAY'!N82</f>
        <v>#REF!</v>
      </c>
      <c r="H37" s="215" t="str">
        <f t="shared" si="8"/>
        <v>#REF!</v>
      </c>
      <c r="I37" s="206"/>
      <c r="J37" s="206"/>
      <c r="K37" s="187"/>
      <c r="L37" s="187"/>
      <c r="M37" s="187"/>
      <c r="N37" s="187"/>
      <c r="O37" s="187"/>
      <c r="P37" s="187"/>
      <c r="Q37" s="187"/>
      <c r="R37" s="187"/>
      <c r="S37" s="187"/>
      <c r="T37" s="187"/>
      <c r="U37" s="187"/>
      <c r="V37" s="187"/>
      <c r="W37" s="187"/>
      <c r="X37" s="187"/>
      <c r="Y37" s="187"/>
      <c r="Z37" s="187"/>
    </row>
    <row r="38" ht="6.75" customHeight="1">
      <c r="A38" s="187"/>
      <c r="B38" s="201"/>
      <c r="C38" s="202"/>
      <c r="D38" s="201"/>
      <c r="E38" s="203"/>
      <c r="F38" s="204"/>
      <c r="G38" s="205"/>
      <c r="H38" s="205"/>
      <c r="I38" s="206"/>
      <c r="J38" s="206"/>
      <c r="K38" s="187"/>
      <c r="L38" s="187"/>
      <c r="M38" s="187"/>
      <c r="N38" s="187"/>
      <c r="O38" s="187"/>
      <c r="P38" s="187"/>
      <c r="Q38" s="187"/>
      <c r="R38" s="187"/>
      <c r="S38" s="187"/>
      <c r="T38" s="187"/>
      <c r="U38" s="187"/>
      <c r="V38" s="187"/>
      <c r="W38" s="187"/>
      <c r="X38" s="187"/>
      <c r="Y38" s="187"/>
      <c r="Z38" s="187"/>
    </row>
    <row r="39" ht="24.0" customHeight="1">
      <c r="A39" s="187"/>
      <c r="B39" s="207">
        <v>3.0</v>
      </c>
      <c r="C39" s="208"/>
      <c r="D39" s="208" t="s">
        <v>83</v>
      </c>
      <c r="E39" s="216" t="str">
        <f>'3. RELEASING OF WAVE ORDERS'!N25</f>
        <v>#REF!</v>
      </c>
      <c r="F39" s="217" t="str">
        <f>E39/60</f>
        <v>#REF!</v>
      </c>
      <c r="G39" s="218" t="str">
        <f>'3. RELEASING OF WAVE ORDERS'!N26</f>
        <v>#REF!</v>
      </c>
      <c r="H39" s="218" t="str">
        <f>G39*8</f>
        <v>#REF!</v>
      </c>
      <c r="I39" s="206"/>
      <c r="J39" s="206"/>
      <c r="K39" s="187"/>
      <c r="L39" s="187"/>
      <c r="M39" s="187"/>
      <c r="N39" s="187"/>
      <c r="O39" s="187"/>
      <c r="P39" s="187"/>
      <c r="Q39" s="187"/>
      <c r="R39" s="187"/>
      <c r="S39" s="187"/>
      <c r="T39" s="187"/>
      <c r="U39" s="187"/>
      <c r="V39" s="187"/>
      <c r="W39" s="187"/>
      <c r="X39" s="187"/>
      <c r="Y39" s="187"/>
      <c r="Z39" s="187"/>
    </row>
    <row r="40" ht="24.0" customHeight="1">
      <c r="A40" s="187"/>
      <c r="B40" s="194"/>
      <c r="C40" s="199"/>
      <c r="D40" s="199"/>
      <c r="E40" s="199"/>
      <c r="F40" s="199"/>
      <c r="G40" s="199"/>
      <c r="H40" s="199"/>
      <c r="I40" s="206"/>
      <c r="J40" s="206"/>
      <c r="K40" s="187"/>
      <c r="L40" s="187"/>
      <c r="M40" s="187"/>
      <c r="N40" s="187"/>
      <c r="O40" s="187"/>
      <c r="P40" s="187"/>
      <c r="Q40" s="187"/>
      <c r="R40" s="187"/>
      <c r="S40" s="187"/>
      <c r="T40" s="187"/>
      <c r="U40" s="187"/>
      <c r="V40" s="187"/>
      <c r="W40" s="187"/>
      <c r="X40" s="187"/>
      <c r="Y40" s="187"/>
      <c r="Z40" s="187"/>
    </row>
    <row r="41" ht="24.0" customHeight="1">
      <c r="A41" s="187"/>
      <c r="B41" s="194"/>
      <c r="C41" s="208"/>
      <c r="D41" s="209" t="s">
        <v>84</v>
      </c>
      <c r="E41" s="193" t="str">
        <f>'3. RELEASING OF WAVE ORDERS'!N53</f>
        <v>#REF!</v>
      </c>
      <c r="F41" s="192" t="str">
        <f t="shared" ref="F41:F42" si="9">E41/60</f>
        <v>#REF!</v>
      </c>
      <c r="G41" s="193" t="str">
        <f>'3. RELEASING OF WAVE ORDERS'!N54</f>
        <v>#REF!</v>
      </c>
      <c r="H41" s="193" t="str">
        <f t="shared" ref="H41:H42" si="10">G41*8</f>
        <v>#REF!</v>
      </c>
      <c r="I41" s="206"/>
      <c r="J41" s="206"/>
      <c r="K41" s="187"/>
      <c r="L41" s="187"/>
      <c r="M41" s="187"/>
      <c r="N41" s="187"/>
      <c r="O41" s="187"/>
      <c r="P41" s="187"/>
      <c r="Q41" s="187"/>
      <c r="R41" s="187"/>
      <c r="S41" s="187"/>
      <c r="T41" s="187"/>
      <c r="U41" s="187"/>
      <c r="V41" s="187"/>
      <c r="W41" s="187"/>
      <c r="X41" s="187"/>
      <c r="Y41" s="187"/>
      <c r="Z41" s="187"/>
    </row>
    <row r="42" ht="24.0" customHeight="1">
      <c r="A42" s="187"/>
      <c r="B42" s="199"/>
      <c r="C42" s="199"/>
      <c r="D42" s="210" t="s">
        <v>83</v>
      </c>
      <c r="E42" s="198" t="str">
        <f>'3. RELEASING OF WAVE ORDERS'!N59</f>
        <v>#REF!</v>
      </c>
      <c r="F42" s="197" t="str">
        <f t="shared" si="9"/>
        <v>#REF!</v>
      </c>
      <c r="G42" s="198" t="str">
        <f>'3. RELEASING OF WAVE ORDERS'!N60</f>
        <v>#REF!</v>
      </c>
      <c r="H42" s="198" t="str">
        <f t="shared" si="10"/>
        <v>#REF!</v>
      </c>
      <c r="I42" s="206"/>
      <c r="J42" s="206"/>
      <c r="K42" s="187"/>
      <c r="L42" s="187"/>
      <c r="M42" s="187"/>
      <c r="N42" s="187"/>
      <c r="O42" s="187"/>
      <c r="P42" s="187"/>
      <c r="Q42" s="187"/>
      <c r="R42" s="187"/>
      <c r="S42" s="187"/>
      <c r="T42" s="187"/>
      <c r="U42" s="187"/>
      <c r="V42" s="187"/>
      <c r="W42" s="187"/>
      <c r="X42" s="187"/>
      <c r="Y42" s="187"/>
      <c r="Z42" s="187"/>
    </row>
    <row r="43" ht="6.75" customHeight="1">
      <c r="A43" s="187"/>
      <c r="B43" s="201"/>
      <c r="C43" s="202"/>
      <c r="D43" s="201"/>
      <c r="E43" s="205"/>
      <c r="F43" s="204"/>
      <c r="G43" s="205"/>
      <c r="H43" s="205"/>
      <c r="I43" s="206"/>
      <c r="J43" s="206"/>
      <c r="K43" s="187"/>
      <c r="L43" s="187"/>
      <c r="M43" s="187"/>
      <c r="N43" s="187"/>
      <c r="O43" s="187"/>
      <c r="P43" s="187"/>
      <c r="Q43" s="187"/>
      <c r="R43" s="187"/>
      <c r="S43" s="187"/>
      <c r="T43" s="187"/>
      <c r="U43" s="187"/>
      <c r="V43" s="187"/>
      <c r="W43" s="187"/>
      <c r="X43" s="187"/>
      <c r="Y43" s="187"/>
      <c r="Z43" s="187"/>
    </row>
    <row r="44" ht="24.0" customHeight="1">
      <c r="A44" s="187"/>
      <c r="B44" s="207">
        <v>4.0</v>
      </c>
      <c r="C44" s="208"/>
      <c r="D44" s="209" t="s">
        <v>83</v>
      </c>
      <c r="E44" s="191" t="str">
        <f>'4. BATCH BY ORDER'!N29</f>
        <v>#REF!</v>
      </c>
      <c r="F44" s="192" t="str">
        <f t="shared" ref="F44:F45" si="11">E44/60</f>
        <v>#REF!</v>
      </c>
      <c r="G44" s="219" t="str">
        <f>'4. BATCH BY ORDER'!N30</f>
        <v>#REF!</v>
      </c>
      <c r="H44" s="191" t="str">
        <f t="shared" ref="H44:H45" si="12">G44*8</f>
        <v>#REF!</v>
      </c>
      <c r="K44" s="187"/>
      <c r="L44" s="187"/>
      <c r="M44" s="187"/>
      <c r="N44" s="187"/>
      <c r="O44" s="187"/>
      <c r="P44" s="187"/>
      <c r="Q44" s="187"/>
      <c r="R44" s="187"/>
      <c r="S44" s="187"/>
      <c r="T44" s="187"/>
      <c r="U44" s="187"/>
      <c r="V44" s="187"/>
      <c r="W44" s="187"/>
      <c r="X44" s="187"/>
      <c r="Y44" s="187"/>
      <c r="Z44" s="187"/>
    </row>
    <row r="45" ht="24.0" customHeight="1">
      <c r="A45" s="187"/>
      <c r="B45" s="199"/>
      <c r="C45" s="199"/>
      <c r="D45" s="210" t="s">
        <v>85</v>
      </c>
      <c r="E45" s="196" t="str">
        <f>'4. BATCH BY ORDER'!N35</f>
        <v>#REF!</v>
      </c>
      <c r="F45" s="197" t="str">
        <f t="shared" si="11"/>
        <v>#REF!</v>
      </c>
      <c r="G45" s="196" t="str">
        <f>'4. BATCH BY ORDER'!N36</f>
        <v>#REF!</v>
      </c>
      <c r="H45" s="196" t="str">
        <f t="shared" si="12"/>
        <v>#REF!</v>
      </c>
      <c r="I45" s="206"/>
      <c r="J45" s="206"/>
      <c r="K45" s="187"/>
      <c r="L45" s="187"/>
      <c r="M45" s="187"/>
      <c r="N45" s="187"/>
      <c r="O45" s="187"/>
      <c r="P45" s="187"/>
      <c r="Q45" s="187"/>
      <c r="R45" s="187"/>
      <c r="S45" s="187"/>
      <c r="T45" s="187"/>
      <c r="U45" s="187"/>
      <c r="V45" s="187"/>
      <c r="W45" s="187"/>
      <c r="X45" s="187"/>
      <c r="Y45" s="187"/>
      <c r="Z45" s="187"/>
    </row>
    <row r="46" ht="6.75" customHeight="1">
      <c r="A46" s="187"/>
      <c r="B46" s="201"/>
      <c r="C46" s="202"/>
      <c r="D46" s="201"/>
      <c r="E46" s="203"/>
      <c r="F46" s="204"/>
      <c r="G46" s="220"/>
      <c r="H46" s="203"/>
      <c r="K46" s="187"/>
      <c r="L46" s="187"/>
      <c r="M46" s="187"/>
      <c r="N46" s="187"/>
      <c r="O46" s="187"/>
      <c r="P46" s="187"/>
      <c r="Q46" s="187"/>
      <c r="R46" s="187"/>
      <c r="S46" s="187"/>
      <c r="T46" s="187"/>
      <c r="U46" s="187"/>
      <c r="V46" s="187"/>
      <c r="W46" s="187"/>
      <c r="X46" s="187"/>
      <c r="Y46" s="187"/>
      <c r="Z46" s="187"/>
    </row>
    <row r="47" ht="24.0" customHeight="1">
      <c r="A47" s="187"/>
      <c r="B47" s="221">
        <v>5.0</v>
      </c>
      <c r="C47" s="208"/>
      <c r="D47" s="209" t="s">
        <v>85</v>
      </c>
      <c r="E47" s="191" t="str">
        <f>'5. SOP/MOTHER PICKLIST PRINTING'!N34</f>
        <v>#REF!</v>
      </c>
      <c r="F47" s="192" t="str">
        <f t="shared" ref="F47:F49" si="13">E47/60</f>
        <v>#REF!</v>
      </c>
      <c r="G47" s="219" t="str">
        <f>'5. SOP/MOTHER PICKLIST PRINTING'!N35</f>
        <v>#REF!</v>
      </c>
      <c r="H47" s="191" t="str">
        <f t="shared" ref="H47:H49" si="14">G47*8</f>
        <v>#REF!</v>
      </c>
      <c r="K47" s="187"/>
      <c r="L47" s="187"/>
      <c r="M47" s="187"/>
      <c r="N47" s="187"/>
      <c r="O47" s="187"/>
      <c r="P47" s="187"/>
      <c r="Q47" s="187"/>
      <c r="R47" s="187"/>
      <c r="S47" s="187"/>
      <c r="T47" s="187"/>
      <c r="U47" s="187"/>
      <c r="V47" s="187"/>
      <c r="W47" s="187"/>
      <c r="X47" s="187"/>
      <c r="Y47" s="187"/>
      <c r="Z47" s="187"/>
    </row>
    <row r="48" ht="24.0" customHeight="1">
      <c r="A48" s="187"/>
      <c r="B48" s="194"/>
      <c r="C48" s="194"/>
      <c r="D48" s="210" t="s">
        <v>86</v>
      </c>
      <c r="E48" s="196" t="str">
        <f>'5. SOP/MOTHER PICKLIST PRINTING'!N28</f>
        <v>#REF!</v>
      </c>
      <c r="F48" s="197" t="str">
        <f t="shared" si="13"/>
        <v>#REF!</v>
      </c>
      <c r="G48" s="222" t="str">
        <f>'5. SOP/MOTHER PICKLIST PRINTING'!N29</f>
        <v>#REF!</v>
      </c>
      <c r="H48" s="196" t="str">
        <f t="shared" si="14"/>
        <v>#REF!</v>
      </c>
      <c r="K48" s="187"/>
      <c r="L48" s="187"/>
      <c r="M48" s="187"/>
      <c r="N48" s="187"/>
      <c r="O48" s="187"/>
      <c r="P48" s="187"/>
      <c r="Q48" s="187"/>
      <c r="R48" s="187"/>
      <c r="S48" s="187"/>
      <c r="T48" s="187"/>
      <c r="U48" s="187"/>
      <c r="V48" s="187"/>
      <c r="W48" s="187"/>
      <c r="X48" s="187"/>
      <c r="Y48" s="187"/>
      <c r="Z48" s="187"/>
    </row>
    <row r="49" ht="24.0" customHeight="1">
      <c r="A49" s="187"/>
      <c r="B49" s="199"/>
      <c r="C49" s="199"/>
      <c r="D49" s="210" t="s">
        <v>83</v>
      </c>
      <c r="E49" s="196" t="str">
        <f>'5. SOP/MOTHER PICKLIST PRINTING'!N40</f>
        <v>#REF!</v>
      </c>
      <c r="F49" s="197" t="str">
        <f t="shared" si="13"/>
        <v>#REF!</v>
      </c>
      <c r="G49" s="222" t="str">
        <f>'5. SOP/MOTHER PICKLIST PRINTING'!N41</f>
        <v>#REF!</v>
      </c>
      <c r="H49" s="196" t="str">
        <f t="shared" si="14"/>
        <v>#REF!</v>
      </c>
      <c r="K49" s="187"/>
      <c r="L49" s="187"/>
      <c r="M49" s="187"/>
      <c r="N49" s="187"/>
      <c r="O49" s="187"/>
      <c r="P49" s="187"/>
      <c r="Q49" s="187"/>
      <c r="R49" s="187"/>
      <c r="S49" s="187"/>
      <c r="T49" s="187"/>
      <c r="U49" s="187"/>
      <c r="V49" s="187"/>
      <c r="W49" s="187"/>
      <c r="X49" s="187"/>
      <c r="Y49" s="187"/>
      <c r="Z49" s="187"/>
    </row>
    <row r="50" ht="6.75" customHeight="1">
      <c r="A50" s="187"/>
      <c r="B50" s="223"/>
      <c r="C50" s="202"/>
      <c r="D50" s="201"/>
      <c r="E50" s="203"/>
      <c r="F50" s="204"/>
      <c r="G50" s="220"/>
      <c r="H50" s="203"/>
      <c r="K50" s="187"/>
      <c r="L50" s="187"/>
      <c r="M50" s="187"/>
      <c r="N50" s="187"/>
      <c r="O50" s="187"/>
      <c r="P50" s="187"/>
      <c r="Q50" s="187"/>
      <c r="R50" s="187"/>
      <c r="S50" s="187"/>
      <c r="T50" s="187"/>
      <c r="U50" s="187"/>
      <c r="V50" s="187"/>
      <c r="W50" s="187"/>
      <c r="X50" s="187"/>
      <c r="Y50" s="187"/>
      <c r="Z50" s="187"/>
    </row>
    <row r="51" ht="24.0" customHeight="1">
      <c r="A51" s="187"/>
      <c r="B51" s="221">
        <v>6.0</v>
      </c>
      <c r="C51" s="208"/>
      <c r="D51" s="209" t="s">
        <v>87</v>
      </c>
      <c r="E51" s="191" t="str">
        <f>'6. WAYBILL PRINTING'!N27</f>
        <v>#REF!</v>
      </c>
      <c r="F51" s="192" t="str">
        <f t="shared" ref="F51:F52" si="15">E51/60</f>
        <v>#REF!</v>
      </c>
      <c r="G51" s="219" t="str">
        <f>'6. WAYBILL PRINTING'!N28</f>
        <v>#REF!</v>
      </c>
      <c r="H51" s="191" t="str">
        <f t="shared" ref="H51:H52" si="16">G51*8</f>
        <v>#REF!</v>
      </c>
      <c r="K51" s="187"/>
      <c r="L51" s="187"/>
      <c r="M51" s="187"/>
      <c r="N51" s="187"/>
      <c r="O51" s="187"/>
      <c r="P51" s="187"/>
      <c r="Q51" s="187"/>
      <c r="R51" s="187"/>
      <c r="S51" s="187"/>
      <c r="T51" s="187"/>
      <c r="U51" s="187"/>
      <c r="V51" s="187"/>
      <c r="W51" s="187"/>
      <c r="X51" s="187"/>
      <c r="Y51" s="187"/>
      <c r="Z51" s="187"/>
    </row>
    <row r="52" ht="24.0" customHeight="1">
      <c r="A52" s="187"/>
      <c r="B52" s="199"/>
      <c r="C52" s="199"/>
      <c r="D52" s="210" t="s">
        <v>85</v>
      </c>
      <c r="E52" s="196" t="str">
        <f>'6. WAYBILL PRINTING'!N34</f>
        <v>#REF!</v>
      </c>
      <c r="F52" s="197" t="str">
        <f t="shared" si="15"/>
        <v>#REF!</v>
      </c>
      <c r="G52" s="222" t="str">
        <f>'6. WAYBILL PRINTING'!N35</f>
        <v>#REF!</v>
      </c>
      <c r="H52" s="196" t="str">
        <f t="shared" si="16"/>
        <v>#REF!</v>
      </c>
      <c r="K52" s="187"/>
      <c r="L52" s="187"/>
      <c r="M52" s="187"/>
      <c r="N52" s="187"/>
      <c r="O52" s="187"/>
      <c r="P52" s="187"/>
      <c r="Q52" s="187"/>
      <c r="R52" s="187"/>
      <c r="S52" s="187"/>
      <c r="T52" s="187"/>
      <c r="U52" s="187"/>
      <c r="V52" s="187"/>
      <c r="W52" s="187"/>
      <c r="X52" s="187"/>
      <c r="Y52" s="187"/>
      <c r="Z52" s="187"/>
    </row>
    <row r="53" ht="6.75" customHeight="1">
      <c r="A53" s="187"/>
      <c r="B53" s="223"/>
      <c r="C53" s="202"/>
      <c r="D53" s="201"/>
      <c r="E53" s="203"/>
      <c r="F53" s="204"/>
      <c r="G53" s="220"/>
      <c r="H53" s="203"/>
      <c r="K53" s="187"/>
      <c r="L53" s="187"/>
      <c r="M53" s="187"/>
      <c r="N53" s="187"/>
      <c r="O53" s="187"/>
      <c r="P53" s="187"/>
      <c r="Q53" s="187"/>
      <c r="R53" s="187"/>
      <c r="S53" s="187"/>
      <c r="T53" s="187"/>
      <c r="U53" s="187"/>
      <c r="V53" s="187"/>
      <c r="W53" s="187"/>
      <c r="X53" s="187"/>
      <c r="Y53" s="187"/>
      <c r="Z53" s="187"/>
    </row>
    <row r="54" ht="24.0" customHeight="1">
      <c r="A54" s="187"/>
      <c r="B54" s="221">
        <v>7.0</v>
      </c>
      <c r="C54" s="208"/>
      <c r="D54" s="209" t="s">
        <v>85</v>
      </c>
      <c r="E54" s="191" t="str">
        <f>'7. BULK PICKING'!N47</f>
        <v>#REF!</v>
      </c>
      <c r="F54" s="192" t="str">
        <f t="shared" ref="F54:F57" si="17">E54/60</f>
        <v>#REF!</v>
      </c>
      <c r="G54" s="219" t="str">
        <f>'7. BULK PICKING'!N48</f>
        <v>#REF!</v>
      </c>
      <c r="H54" s="191" t="str">
        <f t="shared" ref="H54:H57" si="18">G54*8</f>
        <v>#REF!</v>
      </c>
      <c r="K54" s="187"/>
      <c r="L54" s="187"/>
      <c r="M54" s="187"/>
      <c r="N54" s="187"/>
      <c r="O54" s="187"/>
      <c r="P54" s="187"/>
      <c r="Q54" s="187"/>
      <c r="R54" s="187"/>
      <c r="S54" s="187"/>
      <c r="T54" s="187"/>
      <c r="U54" s="187"/>
      <c r="V54" s="187"/>
      <c r="W54" s="187"/>
      <c r="X54" s="187"/>
      <c r="Y54" s="187"/>
      <c r="Z54" s="187"/>
    </row>
    <row r="55" ht="24.0" customHeight="1">
      <c r="A55" s="187"/>
      <c r="B55" s="194"/>
      <c r="C55" s="194"/>
      <c r="D55" s="210" t="s">
        <v>88</v>
      </c>
      <c r="E55" s="196" t="str">
        <f>'7. BULK PICKING'!N35</f>
        <v>#REF!</v>
      </c>
      <c r="F55" s="197" t="str">
        <f t="shared" si="17"/>
        <v>#REF!</v>
      </c>
      <c r="G55" s="224" t="str">
        <f>'7. BULK PICKING'!N36</f>
        <v>#REF!</v>
      </c>
      <c r="H55" s="196" t="str">
        <f t="shared" si="18"/>
        <v>#REF!</v>
      </c>
      <c r="K55" s="187"/>
      <c r="L55" s="187"/>
      <c r="M55" s="187"/>
      <c r="N55" s="187"/>
      <c r="O55" s="187"/>
      <c r="P55" s="187"/>
      <c r="Q55" s="187"/>
      <c r="R55" s="187"/>
      <c r="S55" s="187"/>
      <c r="T55" s="187"/>
      <c r="U55" s="187"/>
      <c r="V55" s="187"/>
      <c r="W55" s="187"/>
      <c r="X55" s="187"/>
      <c r="Y55" s="187"/>
      <c r="Z55" s="187"/>
    </row>
    <row r="56" ht="24.0" customHeight="1">
      <c r="A56" s="187"/>
      <c r="B56" s="194"/>
      <c r="C56" s="194"/>
      <c r="D56" s="210" t="s">
        <v>83</v>
      </c>
      <c r="E56" s="196" t="str">
        <f>'7. BULK PICKING'!N29</f>
        <v>#REF!</v>
      </c>
      <c r="F56" s="197" t="str">
        <f t="shared" si="17"/>
        <v>#REF!</v>
      </c>
      <c r="G56" s="196" t="str">
        <f>'7. BULK PICKING'!N30</f>
        <v>#REF!</v>
      </c>
      <c r="H56" s="196" t="str">
        <f t="shared" si="18"/>
        <v>#REF!</v>
      </c>
      <c r="K56" s="187"/>
      <c r="L56" s="187"/>
      <c r="M56" s="187"/>
      <c r="N56" s="187"/>
      <c r="O56" s="187"/>
      <c r="P56" s="187"/>
      <c r="Q56" s="187"/>
      <c r="R56" s="187"/>
      <c r="S56" s="187"/>
      <c r="T56" s="187"/>
      <c r="U56" s="187"/>
      <c r="V56" s="187"/>
      <c r="W56" s="187"/>
      <c r="X56" s="187"/>
      <c r="Y56" s="187"/>
      <c r="Z56" s="187"/>
    </row>
    <row r="57" ht="24.0" customHeight="1">
      <c r="A57" s="187"/>
      <c r="B57" s="199"/>
      <c r="C57" s="199"/>
      <c r="D57" s="210" t="s">
        <v>80</v>
      </c>
      <c r="E57" s="196" t="str">
        <f>'7. BULK PICKING'!N41</f>
        <v>#REF!</v>
      </c>
      <c r="F57" s="197" t="str">
        <f t="shared" si="17"/>
        <v>#REF!</v>
      </c>
      <c r="G57" s="196" t="str">
        <f>'7. BULK PICKING'!N42</f>
        <v>#REF!</v>
      </c>
      <c r="H57" s="196" t="str">
        <f t="shared" si="18"/>
        <v>#REF!</v>
      </c>
      <c r="K57" s="187"/>
      <c r="L57" s="187"/>
      <c r="M57" s="187"/>
      <c r="N57" s="187"/>
      <c r="O57" s="187"/>
      <c r="P57" s="187"/>
      <c r="Q57" s="187"/>
      <c r="R57" s="187"/>
      <c r="S57" s="187"/>
      <c r="T57" s="187"/>
      <c r="U57" s="187"/>
      <c r="V57" s="187"/>
      <c r="W57" s="187"/>
      <c r="X57" s="187"/>
      <c r="Y57" s="187"/>
      <c r="Z57" s="187"/>
    </row>
    <row r="58" ht="6.75" customHeight="1">
      <c r="A58" s="187"/>
      <c r="B58" s="223"/>
      <c r="C58" s="202"/>
      <c r="D58" s="201"/>
      <c r="E58" s="203"/>
      <c r="F58" s="204"/>
      <c r="G58" s="220"/>
      <c r="H58" s="203"/>
      <c r="K58" s="187"/>
      <c r="L58" s="187"/>
      <c r="M58" s="187"/>
      <c r="N58" s="187"/>
      <c r="O58" s="187"/>
      <c r="P58" s="187"/>
      <c r="Q58" s="187"/>
      <c r="R58" s="187"/>
      <c r="S58" s="187"/>
      <c r="T58" s="187"/>
      <c r="U58" s="187"/>
      <c r="V58" s="187"/>
      <c r="W58" s="187"/>
      <c r="X58" s="187"/>
      <c r="Y58" s="187"/>
      <c r="Z58" s="187"/>
    </row>
    <row r="59" ht="24.0" customHeight="1">
      <c r="A59" s="187"/>
      <c r="B59" s="221">
        <v>8.0</v>
      </c>
      <c r="C59" s="208"/>
      <c r="D59" s="209" t="s">
        <v>85</v>
      </c>
      <c r="E59" s="191" t="str">
        <f>'8. SORTING'!N27</f>
        <v>#REF!</v>
      </c>
      <c r="F59" s="192" t="str">
        <f t="shared" ref="F59:F62" si="19">E59/60</f>
        <v>#REF!</v>
      </c>
      <c r="G59" s="219" t="str">
        <f>'8. SORTING'!N28</f>
        <v>#REF!</v>
      </c>
      <c r="H59" s="191" t="str">
        <f t="shared" ref="H59:H62" si="20">G59*8</f>
        <v>#REF!</v>
      </c>
      <c r="K59" s="187"/>
      <c r="L59" s="187"/>
      <c r="M59" s="187"/>
      <c r="N59" s="187"/>
      <c r="O59" s="187"/>
      <c r="P59" s="187"/>
      <c r="Q59" s="187"/>
      <c r="R59" s="187"/>
      <c r="S59" s="187"/>
      <c r="T59" s="187"/>
      <c r="U59" s="187"/>
      <c r="V59" s="187"/>
      <c r="W59" s="187"/>
      <c r="X59" s="187"/>
      <c r="Y59" s="187"/>
      <c r="Z59" s="187"/>
    </row>
    <row r="60" ht="24.0" customHeight="1">
      <c r="A60" s="187"/>
      <c r="B60" s="194"/>
      <c r="C60" s="199"/>
      <c r="D60" s="210" t="s">
        <v>89</v>
      </c>
      <c r="E60" s="196" t="str">
        <f>'8. SORTING'!N33</f>
        <v>#REF!</v>
      </c>
      <c r="F60" s="197" t="str">
        <f t="shared" si="19"/>
        <v>#REF!</v>
      </c>
      <c r="G60" s="222" t="str">
        <f>'8. SORTING'!N34</f>
        <v>#REF!</v>
      </c>
      <c r="H60" s="196" t="str">
        <f t="shared" si="20"/>
        <v>#REF!</v>
      </c>
      <c r="K60" s="187"/>
      <c r="L60" s="187"/>
      <c r="M60" s="187"/>
      <c r="N60" s="187"/>
      <c r="O60" s="187"/>
      <c r="P60" s="187"/>
      <c r="Q60" s="187"/>
      <c r="R60" s="187"/>
      <c r="S60" s="187"/>
      <c r="T60" s="187"/>
      <c r="U60" s="187"/>
      <c r="V60" s="187"/>
      <c r="W60" s="187"/>
      <c r="X60" s="187"/>
      <c r="Y60" s="187"/>
      <c r="Z60" s="187"/>
    </row>
    <row r="61" ht="24.0" customHeight="1">
      <c r="A61" s="187"/>
      <c r="B61" s="194"/>
      <c r="C61" s="208"/>
      <c r="D61" s="209" t="s">
        <v>80</v>
      </c>
      <c r="E61" s="191" t="str">
        <f>'8. SORTING'!N61</f>
        <v>#REF!</v>
      </c>
      <c r="F61" s="192" t="str">
        <f t="shared" si="19"/>
        <v>#REF!</v>
      </c>
      <c r="G61" s="219" t="str">
        <f>'8. SORTING'!N62</f>
        <v>#REF!</v>
      </c>
      <c r="H61" s="191" t="str">
        <f t="shared" si="20"/>
        <v>#REF!</v>
      </c>
      <c r="K61" s="187"/>
      <c r="L61" s="187"/>
      <c r="M61" s="187"/>
      <c r="N61" s="187"/>
      <c r="O61" s="187"/>
      <c r="P61" s="187"/>
      <c r="Q61" s="187"/>
      <c r="R61" s="187"/>
      <c r="S61" s="187"/>
      <c r="T61" s="187"/>
      <c r="U61" s="187"/>
      <c r="V61" s="187"/>
      <c r="W61" s="187"/>
      <c r="X61" s="187"/>
      <c r="Y61" s="187"/>
      <c r="Z61" s="187"/>
    </row>
    <row r="62" ht="24.0" customHeight="1">
      <c r="A62" s="187"/>
      <c r="B62" s="199"/>
      <c r="C62" s="199"/>
      <c r="D62" s="210" t="s">
        <v>85</v>
      </c>
      <c r="E62" s="196" t="str">
        <f>'8. SORTING'!N67</f>
        <v>#REF!</v>
      </c>
      <c r="F62" s="197" t="str">
        <f t="shared" si="19"/>
        <v>#REF!</v>
      </c>
      <c r="G62" s="224" t="str">
        <f>'8. SORTING'!N68</f>
        <v>#REF!</v>
      </c>
      <c r="H62" s="196" t="str">
        <f t="shared" si="20"/>
        <v>#REF!</v>
      </c>
      <c r="K62" s="187"/>
      <c r="L62" s="187"/>
      <c r="M62" s="187"/>
      <c r="N62" s="187"/>
      <c r="O62" s="187"/>
      <c r="P62" s="187"/>
      <c r="Q62" s="187"/>
      <c r="R62" s="187"/>
      <c r="S62" s="187"/>
      <c r="T62" s="187"/>
      <c r="U62" s="187"/>
      <c r="V62" s="187"/>
      <c r="W62" s="187"/>
      <c r="X62" s="187"/>
      <c r="Y62" s="187"/>
      <c r="Z62" s="187"/>
    </row>
    <row r="63" ht="6.75" customHeight="1">
      <c r="A63" s="187"/>
      <c r="B63" s="223"/>
      <c r="C63" s="223"/>
      <c r="D63" s="223"/>
      <c r="E63" s="223"/>
      <c r="F63" s="225"/>
      <c r="G63" s="223"/>
      <c r="H63" s="223"/>
      <c r="K63" s="187"/>
      <c r="L63" s="187"/>
      <c r="M63" s="187"/>
      <c r="N63" s="187"/>
      <c r="O63" s="187"/>
      <c r="P63" s="187"/>
      <c r="Q63" s="187"/>
      <c r="R63" s="187"/>
      <c r="S63" s="187"/>
      <c r="T63" s="187"/>
      <c r="U63" s="187"/>
      <c r="V63" s="187"/>
      <c r="W63" s="187"/>
      <c r="X63" s="187"/>
      <c r="Y63" s="187"/>
      <c r="Z63" s="187"/>
    </row>
    <row r="64" ht="24.0" customHeight="1">
      <c r="A64" s="187"/>
      <c r="B64" s="221">
        <v>9.0</v>
      </c>
      <c r="C64" s="208"/>
      <c r="D64" s="209" t="s">
        <v>83</v>
      </c>
      <c r="E64" s="191" t="str">
        <f>'9. PICKING'!N24</f>
        <v>#REF!</v>
      </c>
      <c r="F64" s="192" t="str">
        <f t="shared" ref="F64:F73" si="21">E64/60</f>
        <v>#REF!</v>
      </c>
      <c r="G64" s="219" t="str">
        <f>'9. PICKING'!N25</f>
        <v>#REF!</v>
      </c>
      <c r="H64" s="191" t="str">
        <f t="shared" ref="H64:H73" si="22">G64*8</f>
        <v>#REF!</v>
      </c>
      <c r="K64" s="187"/>
      <c r="L64" s="187"/>
      <c r="M64" s="187"/>
      <c r="N64" s="187"/>
      <c r="O64" s="187"/>
      <c r="P64" s="187"/>
      <c r="Q64" s="187"/>
      <c r="R64" s="187"/>
      <c r="S64" s="187"/>
      <c r="T64" s="187"/>
      <c r="U64" s="187"/>
      <c r="V64" s="187"/>
      <c r="W64" s="187"/>
      <c r="X64" s="187"/>
      <c r="Y64" s="187"/>
      <c r="Z64" s="187"/>
    </row>
    <row r="65" ht="24.0" customHeight="1">
      <c r="A65" s="187"/>
      <c r="B65" s="194"/>
      <c r="C65" s="199"/>
      <c r="D65" s="210" t="s">
        <v>80</v>
      </c>
      <c r="E65" s="196" t="str">
        <f>'9. PICKING'!N30</f>
        <v>#REF!</v>
      </c>
      <c r="F65" s="197" t="str">
        <f t="shared" si="21"/>
        <v>#REF!</v>
      </c>
      <c r="G65" s="222" t="str">
        <f>'9. PICKING'!N31</f>
        <v>#REF!</v>
      </c>
      <c r="H65" s="196" t="str">
        <f t="shared" si="22"/>
        <v>#REF!</v>
      </c>
      <c r="K65" s="187"/>
      <c r="L65" s="187"/>
      <c r="M65" s="187"/>
      <c r="N65" s="187"/>
      <c r="O65" s="187"/>
      <c r="P65" s="187"/>
      <c r="Q65" s="187"/>
      <c r="R65" s="187"/>
      <c r="S65" s="187"/>
      <c r="T65" s="187"/>
      <c r="U65" s="187"/>
      <c r="V65" s="187"/>
      <c r="W65" s="187"/>
      <c r="X65" s="187"/>
      <c r="Y65" s="187"/>
      <c r="Z65" s="187"/>
    </row>
    <row r="66" ht="24.0" customHeight="1">
      <c r="A66" s="187"/>
      <c r="B66" s="194"/>
      <c r="C66" s="208"/>
      <c r="D66" s="209" t="s">
        <v>83</v>
      </c>
      <c r="E66" s="191" t="str">
        <f>'9. PICKING'!N60</f>
        <v>#REF!</v>
      </c>
      <c r="F66" s="192" t="str">
        <f t="shared" si="21"/>
        <v>#REF!</v>
      </c>
      <c r="G66" s="219" t="str">
        <f>'9. PICKING'!N61</f>
        <v>#REF!</v>
      </c>
      <c r="H66" s="191" t="str">
        <f t="shared" si="22"/>
        <v>#REF!</v>
      </c>
      <c r="K66" s="187"/>
      <c r="L66" s="187"/>
      <c r="M66" s="187"/>
      <c r="N66" s="187"/>
      <c r="O66" s="187"/>
      <c r="P66" s="187"/>
      <c r="Q66" s="187"/>
      <c r="R66" s="187"/>
      <c r="S66" s="187"/>
      <c r="T66" s="187"/>
      <c r="U66" s="187"/>
      <c r="V66" s="187"/>
      <c r="W66" s="187"/>
      <c r="X66" s="187"/>
      <c r="Y66" s="187"/>
      <c r="Z66" s="187"/>
    </row>
    <row r="67" ht="24.0" customHeight="1">
      <c r="A67" s="187"/>
      <c r="B67" s="194"/>
      <c r="C67" s="199"/>
      <c r="D67" s="210" t="s">
        <v>80</v>
      </c>
      <c r="E67" s="196" t="str">
        <f>'9. PICKING'!N66</f>
        <v>#REF!</v>
      </c>
      <c r="F67" s="197" t="str">
        <f t="shared" si="21"/>
        <v>#REF!</v>
      </c>
      <c r="G67" s="222" t="str">
        <f>'9. PICKING'!N67</f>
        <v>#REF!</v>
      </c>
      <c r="H67" s="196" t="str">
        <f t="shared" si="22"/>
        <v>#REF!</v>
      </c>
      <c r="K67" s="187"/>
      <c r="L67" s="187"/>
      <c r="M67" s="187"/>
      <c r="N67" s="187"/>
      <c r="O67" s="187"/>
      <c r="P67" s="187"/>
      <c r="Q67" s="187"/>
      <c r="R67" s="187"/>
      <c r="S67" s="187"/>
      <c r="T67" s="187"/>
      <c r="U67" s="187"/>
      <c r="V67" s="187"/>
      <c r="W67" s="187"/>
      <c r="X67" s="187"/>
      <c r="Y67" s="187"/>
      <c r="Z67" s="187"/>
    </row>
    <row r="68" ht="24.0" customHeight="1">
      <c r="A68" s="187"/>
      <c r="B68" s="194"/>
      <c r="C68" s="208"/>
      <c r="D68" s="209" t="s">
        <v>83</v>
      </c>
      <c r="E68" s="191" t="str">
        <f>'9. PICKING'!N98</f>
        <v>#REF!</v>
      </c>
      <c r="F68" s="192" t="str">
        <f t="shared" si="21"/>
        <v>#REF!</v>
      </c>
      <c r="G68" s="219" t="str">
        <f>'9. PICKING'!N99</f>
        <v>#REF!</v>
      </c>
      <c r="H68" s="191" t="str">
        <f t="shared" si="22"/>
        <v>#REF!</v>
      </c>
      <c r="K68" s="187"/>
      <c r="L68" s="187"/>
      <c r="M68" s="187"/>
      <c r="N68" s="187"/>
      <c r="O68" s="187"/>
      <c r="P68" s="187"/>
      <c r="Q68" s="187"/>
      <c r="R68" s="187"/>
      <c r="S68" s="187"/>
      <c r="T68" s="187"/>
      <c r="U68" s="187"/>
      <c r="V68" s="187"/>
      <c r="W68" s="187"/>
      <c r="X68" s="187"/>
      <c r="Y68" s="187"/>
      <c r="Z68" s="187"/>
    </row>
    <row r="69" ht="24.0" customHeight="1">
      <c r="A69" s="187"/>
      <c r="B69" s="194"/>
      <c r="C69" s="194"/>
      <c r="D69" s="210" t="s">
        <v>90</v>
      </c>
      <c r="E69" s="196" t="str">
        <f>'9. PICKING'!N104</f>
        <v>#REF!</v>
      </c>
      <c r="F69" s="197" t="str">
        <f t="shared" si="21"/>
        <v>#REF!</v>
      </c>
      <c r="G69" s="222" t="str">
        <f>'9. PICKING'!N105</f>
        <v>#REF!</v>
      </c>
      <c r="H69" s="196" t="str">
        <f t="shared" si="22"/>
        <v>#REF!</v>
      </c>
      <c r="K69" s="187"/>
      <c r="L69" s="187"/>
      <c r="M69" s="187"/>
      <c r="N69" s="187"/>
      <c r="O69" s="187"/>
      <c r="P69" s="187"/>
      <c r="Q69" s="187"/>
      <c r="R69" s="187"/>
      <c r="S69" s="187"/>
      <c r="T69" s="187"/>
      <c r="U69" s="187"/>
      <c r="V69" s="187"/>
      <c r="W69" s="187"/>
      <c r="X69" s="187"/>
      <c r="Y69" s="187"/>
      <c r="Z69" s="187"/>
    </row>
    <row r="70" ht="24.0" customHeight="1">
      <c r="A70" s="187"/>
      <c r="B70" s="194"/>
      <c r="C70" s="199"/>
      <c r="D70" s="210" t="s">
        <v>80</v>
      </c>
      <c r="E70" s="196" t="str">
        <f>'9. PICKING'!N110</f>
        <v>#REF!</v>
      </c>
      <c r="F70" s="197" t="str">
        <f t="shared" si="21"/>
        <v>#REF!</v>
      </c>
      <c r="G70" s="222" t="str">
        <f>'9. PICKING'!N111</f>
        <v>#REF!</v>
      </c>
      <c r="H70" s="196" t="str">
        <f t="shared" si="22"/>
        <v>#REF!</v>
      </c>
      <c r="K70" s="187"/>
      <c r="L70" s="187"/>
      <c r="M70" s="187"/>
      <c r="N70" s="187"/>
      <c r="O70" s="187"/>
      <c r="P70" s="187"/>
      <c r="Q70" s="187"/>
      <c r="R70" s="187"/>
      <c r="S70" s="187"/>
      <c r="T70" s="187"/>
      <c r="U70" s="187"/>
      <c r="V70" s="187"/>
      <c r="W70" s="187"/>
      <c r="X70" s="187"/>
      <c r="Y70" s="187"/>
      <c r="Z70" s="187"/>
    </row>
    <row r="71" ht="24.0" customHeight="1">
      <c r="A71" s="187"/>
      <c r="B71" s="194"/>
      <c r="C71" s="208"/>
      <c r="D71" s="209" t="s">
        <v>83</v>
      </c>
      <c r="E71" s="191" t="str">
        <f>'9. PICKING'!N143</f>
        <v>#REF!</v>
      </c>
      <c r="F71" s="192" t="str">
        <f t="shared" si="21"/>
        <v>#REF!</v>
      </c>
      <c r="G71" s="219" t="str">
        <f>'9. PICKING'!N144</f>
        <v>#REF!</v>
      </c>
      <c r="H71" s="191" t="str">
        <f t="shared" si="22"/>
        <v>#REF!</v>
      </c>
      <c r="K71" s="187"/>
      <c r="L71" s="187"/>
      <c r="M71" s="187"/>
      <c r="N71" s="187"/>
      <c r="O71" s="187"/>
      <c r="P71" s="187"/>
      <c r="Q71" s="187"/>
      <c r="R71" s="187"/>
      <c r="S71" s="187"/>
      <c r="T71" s="187"/>
      <c r="U71" s="187"/>
      <c r="V71" s="187"/>
      <c r="W71" s="187"/>
      <c r="X71" s="187"/>
      <c r="Y71" s="187"/>
      <c r="Z71" s="187"/>
    </row>
    <row r="72" ht="24.0" customHeight="1">
      <c r="A72" s="206"/>
      <c r="B72" s="194"/>
      <c r="C72" s="194"/>
      <c r="D72" s="210" t="s">
        <v>81</v>
      </c>
      <c r="E72" s="196" t="str">
        <f>'9. PICKING'!N149</f>
        <v>#REF!</v>
      </c>
      <c r="F72" s="197" t="str">
        <f t="shared" si="21"/>
        <v>#REF!</v>
      </c>
      <c r="G72" s="222" t="str">
        <f>'9. PICKING'!N150</f>
        <v>#REF!</v>
      </c>
      <c r="H72" s="196" t="str">
        <f t="shared" si="22"/>
        <v>#REF!</v>
      </c>
      <c r="K72" s="206"/>
      <c r="L72" s="206"/>
      <c r="M72" s="206"/>
      <c r="N72" s="206"/>
      <c r="O72" s="206"/>
      <c r="P72" s="206"/>
      <c r="Q72" s="206"/>
      <c r="R72" s="206"/>
      <c r="S72" s="206"/>
      <c r="T72" s="206"/>
      <c r="U72" s="206"/>
      <c r="V72" s="206"/>
      <c r="W72" s="206"/>
      <c r="X72" s="206"/>
      <c r="Y72" s="206"/>
      <c r="Z72" s="206"/>
    </row>
    <row r="73" ht="24.0" customHeight="1">
      <c r="A73" s="206"/>
      <c r="B73" s="199"/>
      <c r="C73" s="199"/>
      <c r="D73" s="210" t="s">
        <v>80</v>
      </c>
      <c r="E73" s="196" t="str">
        <f>'9. PICKING'!N155</f>
        <v>#REF!</v>
      </c>
      <c r="F73" s="197" t="str">
        <f t="shared" si="21"/>
        <v>#REF!</v>
      </c>
      <c r="G73" s="222" t="str">
        <f>'9. PICKING'!N156</f>
        <v>#REF!</v>
      </c>
      <c r="H73" s="196" t="str">
        <f t="shared" si="22"/>
        <v>#REF!</v>
      </c>
      <c r="K73" s="206"/>
      <c r="L73" s="206"/>
      <c r="M73" s="206"/>
      <c r="N73" s="206"/>
      <c r="O73" s="206"/>
      <c r="P73" s="206"/>
      <c r="Q73" s="206"/>
      <c r="R73" s="206"/>
      <c r="S73" s="206"/>
      <c r="T73" s="206"/>
      <c r="U73" s="206"/>
      <c r="V73" s="206"/>
      <c r="W73" s="206"/>
      <c r="X73" s="206"/>
      <c r="Y73" s="206"/>
      <c r="Z73" s="206"/>
    </row>
    <row r="74" ht="6.75" customHeight="1">
      <c r="A74" s="206"/>
      <c r="B74" s="201"/>
      <c r="C74" s="202"/>
      <c r="D74" s="201"/>
      <c r="E74" s="203"/>
      <c r="F74" s="204"/>
      <c r="G74" s="220"/>
      <c r="H74" s="203"/>
      <c r="K74" s="206"/>
      <c r="L74" s="206"/>
      <c r="M74" s="206"/>
      <c r="N74" s="206"/>
      <c r="O74" s="206"/>
      <c r="P74" s="206"/>
      <c r="Q74" s="206"/>
      <c r="R74" s="206"/>
      <c r="S74" s="206"/>
      <c r="T74" s="206"/>
      <c r="U74" s="206"/>
      <c r="V74" s="206"/>
      <c r="W74" s="206"/>
      <c r="X74" s="206"/>
      <c r="Y74" s="206"/>
      <c r="Z74" s="206"/>
    </row>
    <row r="75" ht="24.0" customHeight="1">
      <c r="A75" s="206"/>
      <c r="B75" s="207">
        <v>10.0</v>
      </c>
      <c r="C75" s="208"/>
      <c r="D75" s="209" t="s">
        <v>83</v>
      </c>
      <c r="E75" s="191" t="str">
        <f>'10. QUALITY CHECKING-REVISED'!N62</f>
        <v>#REF!</v>
      </c>
      <c r="F75" s="192" t="str">
        <f t="shared" ref="F75:F88" si="23">E75/60</f>
        <v>#REF!</v>
      </c>
      <c r="G75" s="219" t="str">
        <f>'10. QUALITY CHECKING-REVISED'!N63</f>
        <v>#REF!</v>
      </c>
      <c r="H75" s="191" t="str">
        <f t="shared" ref="H75:H88" si="24">G75*8</f>
        <v>#REF!</v>
      </c>
      <c r="K75" s="206"/>
      <c r="L75" s="206"/>
      <c r="M75" s="206"/>
      <c r="N75" s="206"/>
      <c r="O75" s="206"/>
      <c r="P75" s="206"/>
      <c r="Q75" s="206"/>
      <c r="R75" s="206"/>
      <c r="S75" s="206"/>
      <c r="T75" s="206"/>
      <c r="U75" s="206"/>
      <c r="V75" s="206"/>
      <c r="W75" s="206"/>
      <c r="X75" s="206"/>
      <c r="Y75" s="206"/>
      <c r="Z75" s="206"/>
    </row>
    <row r="76" ht="24.0" customHeight="1">
      <c r="A76" s="206"/>
      <c r="B76" s="194"/>
      <c r="C76" s="199"/>
      <c r="D76" s="210" t="s">
        <v>80</v>
      </c>
      <c r="E76" s="196" t="str">
        <f>'10. QUALITY CHECKING-REVISED'!N68</f>
        <v>#REF!</v>
      </c>
      <c r="F76" s="197" t="str">
        <f t="shared" si="23"/>
        <v>#REF!</v>
      </c>
      <c r="G76" s="222" t="str">
        <f>'10. QUALITY CHECKING-REVISED'!N69</f>
        <v>#REF!</v>
      </c>
      <c r="H76" s="196" t="str">
        <f t="shared" si="24"/>
        <v>#REF!</v>
      </c>
      <c r="K76" s="206"/>
      <c r="L76" s="206"/>
      <c r="M76" s="206"/>
      <c r="N76" s="206"/>
      <c r="O76" s="206"/>
      <c r="P76" s="206"/>
      <c r="Q76" s="206"/>
      <c r="R76" s="206"/>
      <c r="S76" s="206"/>
      <c r="T76" s="206"/>
      <c r="U76" s="206"/>
      <c r="V76" s="206"/>
      <c r="W76" s="206"/>
      <c r="X76" s="206"/>
      <c r="Y76" s="206"/>
      <c r="Z76" s="206"/>
    </row>
    <row r="77" ht="30.0" customHeight="1">
      <c r="A77" s="206"/>
      <c r="B77" s="194"/>
      <c r="C77" s="208"/>
      <c r="D77" s="209" t="s">
        <v>83</v>
      </c>
      <c r="E77" s="191" t="str">
        <f>'10. QUALITY CHECKING-REVISED'!N97</f>
        <v>#REF!</v>
      </c>
      <c r="F77" s="192" t="str">
        <f t="shared" si="23"/>
        <v>#REF!</v>
      </c>
      <c r="G77" s="219" t="str">
        <f>'10. QUALITY CHECKING-REVISED'!N98</f>
        <v>#REF!</v>
      </c>
      <c r="H77" s="191" t="str">
        <f t="shared" si="24"/>
        <v>#REF!</v>
      </c>
      <c r="K77" s="206"/>
      <c r="L77" s="206"/>
      <c r="M77" s="206"/>
      <c r="N77" s="206"/>
      <c r="O77" s="206"/>
      <c r="P77" s="206"/>
      <c r="Q77" s="206"/>
      <c r="R77" s="206"/>
      <c r="S77" s="206"/>
      <c r="T77" s="206"/>
      <c r="U77" s="206"/>
      <c r="V77" s="206"/>
      <c r="W77" s="206"/>
      <c r="X77" s="206"/>
      <c r="Y77" s="206"/>
      <c r="Z77" s="206"/>
    </row>
    <row r="78" ht="30.0" customHeight="1">
      <c r="A78" s="206"/>
      <c r="B78" s="194"/>
      <c r="C78" s="199"/>
      <c r="D78" s="210" t="s">
        <v>80</v>
      </c>
      <c r="E78" s="196" t="str">
        <f>'10. QUALITY CHECKING-REVISED'!N103</f>
        <v>#REF!</v>
      </c>
      <c r="F78" s="197" t="str">
        <f t="shared" si="23"/>
        <v>#REF!</v>
      </c>
      <c r="G78" s="222" t="str">
        <f>'10. QUALITY CHECKING-REVISED'!N104</f>
        <v>#REF!</v>
      </c>
      <c r="H78" s="196" t="str">
        <f t="shared" si="24"/>
        <v>#REF!</v>
      </c>
      <c r="K78" s="206"/>
      <c r="L78" s="206"/>
      <c r="M78" s="206"/>
      <c r="N78" s="206"/>
      <c r="O78" s="206"/>
      <c r="P78" s="206"/>
      <c r="Q78" s="206"/>
      <c r="R78" s="206"/>
      <c r="S78" s="206"/>
      <c r="T78" s="206"/>
      <c r="U78" s="206"/>
      <c r="V78" s="206"/>
      <c r="W78" s="206"/>
      <c r="X78" s="206"/>
      <c r="Y78" s="206"/>
      <c r="Z78" s="206"/>
    </row>
    <row r="79" ht="30.0" customHeight="1">
      <c r="A79" s="206"/>
      <c r="B79" s="194"/>
      <c r="C79" s="208"/>
      <c r="D79" s="209" t="s">
        <v>83</v>
      </c>
      <c r="E79" s="191" t="str">
        <f>'10. QUALITY CHECKING-REVISED'!N132</f>
        <v>#REF!</v>
      </c>
      <c r="F79" s="192" t="str">
        <f t="shared" si="23"/>
        <v>#REF!</v>
      </c>
      <c r="G79" s="219" t="str">
        <f>'10. QUALITY CHECKING-REVISED'!N133</f>
        <v>#REF!</v>
      </c>
      <c r="H79" s="191" t="str">
        <f t="shared" si="24"/>
        <v>#REF!</v>
      </c>
      <c r="K79" s="206"/>
      <c r="L79" s="206"/>
      <c r="M79" s="206"/>
      <c r="N79" s="206"/>
      <c r="O79" s="206"/>
      <c r="P79" s="206"/>
      <c r="Q79" s="206"/>
      <c r="R79" s="206"/>
      <c r="S79" s="206"/>
      <c r="T79" s="206"/>
      <c r="U79" s="206"/>
      <c r="V79" s="206"/>
      <c r="W79" s="206"/>
      <c r="X79" s="206"/>
      <c r="Y79" s="206"/>
      <c r="Z79" s="206"/>
    </row>
    <row r="80" ht="30.0" customHeight="1">
      <c r="A80" s="206"/>
      <c r="B80" s="194"/>
      <c r="C80" s="199"/>
      <c r="D80" s="210" t="s">
        <v>80</v>
      </c>
      <c r="E80" s="196" t="str">
        <f>'10. QUALITY CHECKING-REVISED'!N138</f>
        <v>#REF!</v>
      </c>
      <c r="F80" s="197" t="str">
        <f t="shared" si="23"/>
        <v>#REF!</v>
      </c>
      <c r="G80" s="222" t="str">
        <f>'10. QUALITY CHECKING-REVISED'!N139</f>
        <v>#REF!</v>
      </c>
      <c r="H80" s="196" t="str">
        <f t="shared" si="24"/>
        <v>#REF!</v>
      </c>
      <c r="K80" s="206"/>
      <c r="L80" s="206"/>
      <c r="M80" s="206"/>
      <c r="N80" s="206"/>
      <c r="O80" s="206"/>
      <c r="P80" s="206"/>
      <c r="Q80" s="206"/>
      <c r="R80" s="206"/>
      <c r="S80" s="206"/>
      <c r="T80" s="206"/>
      <c r="U80" s="206"/>
      <c r="V80" s="206"/>
      <c r="W80" s="206"/>
      <c r="X80" s="206"/>
      <c r="Y80" s="206"/>
      <c r="Z80" s="206"/>
    </row>
    <row r="81" ht="30.0" customHeight="1">
      <c r="A81" s="206"/>
      <c r="B81" s="194"/>
      <c r="C81" s="209"/>
      <c r="D81" s="209" t="s">
        <v>91</v>
      </c>
      <c r="E81" s="191" t="str">
        <f>'10. QUALITY CHECKING-REVISED'!N166</f>
        <v>#REF!</v>
      </c>
      <c r="F81" s="192" t="str">
        <f t="shared" si="23"/>
        <v>#REF!</v>
      </c>
      <c r="G81" s="219" t="str">
        <f>'10. QUALITY CHECKING-REVISED'!N167</f>
        <v>#REF!</v>
      </c>
      <c r="H81" s="191" t="str">
        <f t="shared" si="24"/>
        <v>#REF!</v>
      </c>
      <c r="K81" s="206"/>
      <c r="L81" s="206"/>
      <c r="M81" s="206"/>
      <c r="N81" s="206"/>
      <c r="O81" s="206"/>
      <c r="P81" s="206"/>
      <c r="Q81" s="206"/>
      <c r="R81" s="206"/>
      <c r="S81" s="206"/>
      <c r="T81" s="206"/>
      <c r="U81" s="206"/>
      <c r="V81" s="206"/>
      <c r="W81" s="206"/>
      <c r="X81" s="206"/>
      <c r="Y81" s="206"/>
      <c r="Z81" s="206"/>
    </row>
    <row r="82" ht="24.0" customHeight="1">
      <c r="A82" s="206"/>
      <c r="B82" s="194"/>
      <c r="C82" s="208"/>
      <c r="D82" s="209" t="s">
        <v>83</v>
      </c>
      <c r="E82" s="191" t="str">
        <f>'10. QUALITY CHECKING-REVISED'!N198</f>
        <v>#REF!</v>
      </c>
      <c r="F82" s="192" t="str">
        <f t="shared" si="23"/>
        <v>#REF!</v>
      </c>
      <c r="G82" s="219" t="str">
        <f>'10. QUALITY CHECKING-REVISED'!N199</f>
        <v>#REF!</v>
      </c>
      <c r="H82" s="191" t="str">
        <f t="shared" si="24"/>
        <v>#REF!</v>
      </c>
      <c r="K82" s="206"/>
      <c r="L82" s="206"/>
      <c r="M82" s="206"/>
      <c r="N82" s="206"/>
      <c r="O82" s="206"/>
      <c r="P82" s="206"/>
      <c r="Q82" s="206"/>
      <c r="R82" s="206"/>
      <c r="S82" s="206"/>
      <c r="T82" s="206"/>
      <c r="U82" s="206"/>
      <c r="V82" s="206"/>
      <c r="W82" s="206"/>
      <c r="X82" s="206"/>
      <c r="Y82" s="206"/>
      <c r="Z82" s="206"/>
    </row>
    <row r="83" ht="24.0" customHeight="1">
      <c r="A83" s="206"/>
      <c r="B83" s="194"/>
      <c r="C83" s="199"/>
      <c r="D83" s="210" t="s">
        <v>80</v>
      </c>
      <c r="E83" s="196" t="str">
        <f>'10. QUALITY CHECKING-REVISED'!N204</f>
        <v>#REF!</v>
      </c>
      <c r="F83" s="197" t="str">
        <f t="shared" si="23"/>
        <v>#REF!</v>
      </c>
      <c r="G83" s="222" t="str">
        <f>'10. QUALITY CHECKING-REVISED'!N205</f>
        <v>#REF!</v>
      </c>
      <c r="H83" s="196" t="str">
        <f t="shared" si="24"/>
        <v>#REF!</v>
      </c>
      <c r="K83" s="206"/>
      <c r="L83" s="206"/>
      <c r="M83" s="206"/>
      <c r="N83" s="206"/>
      <c r="O83" s="206"/>
      <c r="P83" s="206"/>
      <c r="Q83" s="206"/>
      <c r="R83" s="206"/>
      <c r="S83" s="206"/>
      <c r="T83" s="206"/>
      <c r="U83" s="206"/>
      <c r="V83" s="206"/>
      <c r="W83" s="206"/>
      <c r="X83" s="206"/>
      <c r="Y83" s="206"/>
      <c r="Z83" s="206"/>
    </row>
    <row r="84" ht="24.0" customHeight="1">
      <c r="A84" s="206"/>
      <c r="B84" s="194"/>
      <c r="C84" s="208"/>
      <c r="D84" s="209" t="s">
        <v>83</v>
      </c>
      <c r="E84" s="191" t="str">
        <f>'10. QUALITY CHECKING-REVISED'!N234</f>
        <v>#REF!</v>
      </c>
      <c r="F84" s="192" t="str">
        <f t="shared" si="23"/>
        <v>#REF!</v>
      </c>
      <c r="G84" s="219" t="str">
        <f>'10. QUALITY CHECKING-REVISED'!N235</f>
        <v>#REF!</v>
      </c>
      <c r="H84" s="191" t="str">
        <f t="shared" si="24"/>
        <v>#REF!</v>
      </c>
      <c r="K84" s="206"/>
      <c r="L84" s="206"/>
      <c r="M84" s="206"/>
      <c r="N84" s="206"/>
      <c r="O84" s="206"/>
      <c r="P84" s="206"/>
      <c r="Q84" s="206"/>
      <c r="R84" s="206"/>
      <c r="S84" s="206"/>
      <c r="T84" s="206"/>
      <c r="U84" s="206"/>
      <c r="V84" s="206"/>
      <c r="W84" s="206"/>
      <c r="X84" s="206"/>
      <c r="Y84" s="206"/>
      <c r="Z84" s="206"/>
    </row>
    <row r="85" ht="24.0" customHeight="1">
      <c r="A85" s="206"/>
      <c r="B85" s="194"/>
      <c r="C85" s="199"/>
      <c r="D85" s="210" t="s">
        <v>80</v>
      </c>
      <c r="E85" s="196" t="str">
        <f>'10. QUALITY CHECKING-REVISED'!N240</f>
        <v>#REF!</v>
      </c>
      <c r="F85" s="197" t="str">
        <f t="shared" si="23"/>
        <v>#REF!</v>
      </c>
      <c r="G85" s="222" t="str">
        <f>'10. QUALITY CHECKING-REVISED'!N241</f>
        <v>#REF!</v>
      </c>
      <c r="H85" s="196" t="str">
        <f t="shared" si="24"/>
        <v>#REF!</v>
      </c>
      <c r="K85" s="206"/>
      <c r="L85" s="206"/>
      <c r="M85" s="206"/>
      <c r="N85" s="206"/>
      <c r="O85" s="206"/>
      <c r="P85" s="206"/>
      <c r="Q85" s="206"/>
      <c r="R85" s="206"/>
      <c r="S85" s="206"/>
      <c r="T85" s="206"/>
      <c r="U85" s="206"/>
      <c r="V85" s="206"/>
      <c r="W85" s="206"/>
      <c r="X85" s="206"/>
      <c r="Y85" s="206"/>
      <c r="Z85" s="206"/>
    </row>
    <row r="86" ht="24.0" customHeight="1">
      <c r="A86" s="206"/>
      <c r="B86" s="194"/>
      <c r="C86" s="208"/>
      <c r="D86" s="209" t="s">
        <v>83</v>
      </c>
      <c r="E86" s="191" t="str">
        <f>'10. QUALITY CHECKING-REVISED'!N268</f>
        <v>#REF!</v>
      </c>
      <c r="F86" s="192" t="str">
        <f t="shared" si="23"/>
        <v>#REF!</v>
      </c>
      <c r="G86" s="219" t="str">
        <f>'10. QUALITY CHECKING-REVISED'!N269</f>
        <v>#REF!</v>
      </c>
      <c r="H86" s="191" t="str">
        <f t="shared" si="24"/>
        <v>#REF!</v>
      </c>
      <c r="K86" s="206"/>
      <c r="L86" s="206"/>
      <c r="M86" s="206"/>
      <c r="N86" s="206"/>
      <c r="O86" s="206"/>
      <c r="P86" s="206"/>
      <c r="Q86" s="206"/>
      <c r="R86" s="206"/>
      <c r="S86" s="206"/>
      <c r="T86" s="206"/>
      <c r="U86" s="206"/>
      <c r="V86" s="206"/>
      <c r="W86" s="206"/>
      <c r="X86" s="206"/>
      <c r="Y86" s="206"/>
      <c r="Z86" s="206"/>
    </row>
    <row r="87" ht="24.0" customHeight="1">
      <c r="A87" s="206"/>
      <c r="B87" s="194"/>
      <c r="C87" s="199"/>
      <c r="D87" s="210" t="s">
        <v>80</v>
      </c>
      <c r="E87" s="196" t="str">
        <f>'10. QUALITY CHECKING-REVISED'!N274</f>
        <v>#REF!</v>
      </c>
      <c r="F87" s="197" t="str">
        <f t="shared" si="23"/>
        <v>#REF!</v>
      </c>
      <c r="G87" s="222" t="str">
        <f>'10. QUALITY CHECKING-REVISED'!N275</f>
        <v>#REF!</v>
      </c>
      <c r="H87" s="196" t="str">
        <f t="shared" si="24"/>
        <v>#REF!</v>
      </c>
      <c r="K87" s="206"/>
      <c r="L87" s="206"/>
      <c r="M87" s="206"/>
      <c r="N87" s="206"/>
      <c r="O87" s="206"/>
      <c r="P87" s="206"/>
      <c r="Q87" s="206"/>
      <c r="R87" s="206"/>
      <c r="S87" s="206"/>
      <c r="T87" s="206"/>
      <c r="U87" s="206"/>
      <c r="V87" s="206"/>
      <c r="W87" s="206"/>
      <c r="X87" s="206"/>
      <c r="Y87" s="206"/>
      <c r="Z87" s="206"/>
    </row>
    <row r="88" ht="24.0" customHeight="1">
      <c r="A88" s="206"/>
      <c r="B88" s="199"/>
      <c r="C88" s="209"/>
      <c r="D88" s="209" t="s">
        <v>83</v>
      </c>
      <c r="E88" s="226" t="str">
        <f>'10. QUALITY CHECKING-REVISED'!N303</f>
        <v>#REF!</v>
      </c>
      <c r="F88" s="192" t="str">
        <f t="shared" si="23"/>
        <v>#REF!</v>
      </c>
      <c r="G88" s="219">
        <f>'10. QUALITY CHECKING'!N126</f>
        <v>10.4546009</v>
      </c>
      <c r="H88" s="191">
        <f t="shared" si="24"/>
        <v>83.63680716</v>
      </c>
      <c r="K88" s="206"/>
      <c r="L88" s="206"/>
      <c r="M88" s="206"/>
      <c r="N88" s="206"/>
      <c r="O88" s="206"/>
      <c r="P88" s="206"/>
      <c r="Q88" s="206"/>
      <c r="R88" s="206"/>
      <c r="S88" s="206"/>
      <c r="T88" s="206"/>
      <c r="U88" s="206"/>
      <c r="V88" s="206"/>
      <c r="W88" s="206"/>
      <c r="X88" s="206"/>
      <c r="Y88" s="206"/>
      <c r="Z88" s="206"/>
    </row>
    <row r="89" ht="6.75" customHeight="1">
      <c r="A89" s="206"/>
      <c r="B89" s="201"/>
      <c r="C89" s="202"/>
      <c r="D89" s="201"/>
      <c r="E89" s="201"/>
      <c r="F89" s="204"/>
      <c r="G89" s="220"/>
      <c r="H89" s="203"/>
      <c r="I89" s="227"/>
      <c r="K89" s="206"/>
      <c r="L89" s="206"/>
      <c r="M89" s="206"/>
      <c r="N89" s="206"/>
      <c r="O89" s="206"/>
      <c r="P89" s="206"/>
      <c r="Q89" s="206"/>
      <c r="R89" s="206"/>
      <c r="S89" s="206"/>
      <c r="T89" s="206"/>
      <c r="U89" s="206"/>
      <c r="V89" s="206"/>
      <c r="W89" s="206"/>
      <c r="X89" s="206"/>
      <c r="Y89" s="206"/>
      <c r="Z89" s="206"/>
    </row>
    <row r="90" ht="24.0" customHeight="1">
      <c r="A90" s="206"/>
      <c r="B90" s="207">
        <v>11.0</v>
      </c>
      <c r="C90" s="208"/>
      <c r="D90" s="209" t="s">
        <v>83</v>
      </c>
      <c r="E90" s="228" t="str">
        <f>'11. PACKING'!N26</f>
        <v>#REF!</v>
      </c>
      <c r="F90" s="192" t="str">
        <f t="shared" ref="F90:F105" si="25">E90/60</f>
        <v>#REF!</v>
      </c>
      <c r="G90" s="229" t="str">
        <f>'11. PACKING'!N27</f>
        <v>#REF!</v>
      </c>
      <c r="H90" s="191" t="str">
        <f t="shared" ref="H90:H105" si="26">G90*8</f>
        <v>#REF!</v>
      </c>
      <c r="I90" s="227"/>
      <c r="K90" s="206"/>
      <c r="L90" s="206"/>
      <c r="M90" s="206"/>
      <c r="N90" s="206"/>
      <c r="O90" s="206"/>
      <c r="P90" s="206"/>
      <c r="Q90" s="206"/>
      <c r="R90" s="206"/>
      <c r="S90" s="206"/>
      <c r="T90" s="206"/>
      <c r="U90" s="206"/>
      <c r="V90" s="206"/>
      <c r="W90" s="206"/>
      <c r="X90" s="206"/>
      <c r="Y90" s="206"/>
      <c r="Z90" s="206"/>
    </row>
    <row r="91" ht="24.0" customHeight="1">
      <c r="A91" s="206"/>
      <c r="B91" s="194"/>
      <c r="C91" s="199"/>
      <c r="D91" s="210" t="s">
        <v>80</v>
      </c>
      <c r="E91" s="230" t="str">
        <f>'11. PACKING'!N32</f>
        <v>#REF!</v>
      </c>
      <c r="F91" s="197" t="str">
        <f t="shared" si="25"/>
        <v>#REF!</v>
      </c>
      <c r="G91" s="231" t="str">
        <f>'11. PACKING'!N33</f>
        <v>#REF!</v>
      </c>
      <c r="H91" s="196" t="str">
        <f t="shared" si="26"/>
        <v>#REF!</v>
      </c>
      <c r="I91" s="227"/>
      <c r="K91" s="206"/>
      <c r="L91" s="206"/>
      <c r="M91" s="206"/>
      <c r="N91" s="206"/>
      <c r="O91" s="206"/>
      <c r="P91" s="206"/>
      <c r="Q91" s="206"/>
      <c r="R91" s="206"/>
      <c r="S91" s="206"/>
      <c r="T91" s="206"/>
      <c r="U91" s="206"/>
      <c r="V91" s="206"/>
      <c r="W91" s="206"/>
      <c r="X91" s="206"/>
      <c r="Y91" s="206"/>
      <c r="Z91" s="206"/>
    </row>
    <row r="92" ht="24.0" customHeight="1">
      <c r="A92" s="206"/>
      <c r="B92" s="194"/>
      <c r="C92" s="208"/>
      <c r="D92" s="209" t="s">
        <v>83</v>
      </c>
      <c r="E92" s="191" t="str">
        <f>'11. PACKING'!N64</f>
        <v>#REF!</v>
      </c>
      <c r="F92" s="192" t="str">
        <f t="shared" si="25"/>
        <v>#REF!</v>
      </c>
      <c r="G92" s="219" t="str">
        <f>'11. PACKING'!N65</f>
        <v>#REF!</v>
      </c>
      <c r="H92" s="191" t="str">
        <f t="shared" si="26"/>
        <v>#REF!</v>
      </c>
      <c r="I92" s="227"/>
      <c r="K92" s="206"/>
      <c r="L92" s="206"/>
      <c r="M92" s="206"/>
      <c r="N92" s="206"/>
      <c r="O92" s="206"/>
      <c r="P92" s="206"/>
      <c r="Q92" s="206"/>
      <c r="R92" s="206"/>
      <c r="S92" s="206"/>
      <c r="T92" s="206"/>
      <c r="U92" s="206"/>
      <c r="V92" s="206"/>
      <c r="W92" s="206"/>
      <c r="X92" s="206"/>
      <c r="Y92" s="206"/>
      <c r="Z92" s="206"/>
    </row>
    <row r="93" ht="24.0" customHeight="1">
      <c r="A93" s="206"/>
      <c r="B93" s="194"/>
      <c r="C93" s="199"/>
      <c r="D93" s="210" t="s">
        <v>80</v>
      </c>
      <c r="E93" s="196" t="str">
        <f>'11. PACKING'!N70</f>
        <v>#REF!</v>
      </c>
      <c r="F93" s="197" t="str">
        <f t="shared" si="25"/>
        <v>#REF!</v>
      </c>
      <c r="G93" s="222" t="str">
        <f>'11. PACKING'!N71</f>
        <v>#REF!</v>
      </c>
      <c r="H93" s="196" t="str">
        <f t="shared" si="26"/>
        <v>#REF!</v>
      </c>
      <c r="I93" s="227"/>
      <c r="K93" s="206"/>
      <c r="L93" s="206"/>
      <c r="M93" s="206"/>
      <c r="N93" s="206"/>
      <c r="O93" s="206"/>
      <c r="P93" s="206"/>
      <c r="Q93" s="206"/>
      <c r="R93" s="206"/>
      <c r="S93" s="206"/>
      <c r="T93" s="206"/>
      <c r="U93" s="206"/>
      <c r="V93" s="206"/>
      <c r="W93" s="206"/>
      <c r="X93" s="206"/>
      <c r="Y93" s="206"/>
      <c r="Z93" s="206"/>
    </row>
    <row r="94" ht="24.0" customHeight="1">
      <c r="B94" s="194"/>
      <c r="C94" s="208"/>
      <c r="D94" s="209" t="s">
        <v>83</v>
      </c>
      <c r="E94" s="191" t="str">
        <f>'11. PACKING'!N101</f>
        <v>#REF!</v>
      </c>
      <c r="F94" s="192" t="str">
        <f t="shared" si="25"/>
        <v>#REF!</v>
      </c>
      <c r="G94" s="219" t="str">
        <f>'11. PACKING'!N102</f>
        <v>#REF!</v>
      </c>
      <c r="H94" s="191" t="str">
        <f t="shared" si="26"/>
        <v>#REF!</v>
      </c>
      <c r="I94" s="232"/>
    </row>
    <row r="95" ht="24.0" customHeight="1">
      <c r="B95" s="194"/>
      <c r="C95" s="199"/>
      <c r="D95" s="210" t="s">
        <v>80</v>
      </c>
      <c r="E95" s="196" t="str">
        <f>'11. PACKING'!N107</f>
        <v>#REF!</v>
      </c>
      <c r="F95" s="197" t="str">
        <f t="shared" si="25"/>
        <v>#REF!</v>
      </c>
      <c r="G95" s="222" t="str">
        <f>'11. PACKING'!N108</f>
        <v>#REF!</v>
      </c>
      <c r="H95" s="196" t="str">
        <f t="shared" si="26"/>
        <v>#REF!</v>
      </c>
      <c r="I95" s="232"/>
    </row>
    <row r="96" ht="24.0" customHeight="1">
      <c r="B96" s="194"/>
      <c r="C96" s="208"/>
      <c r="D96" s="209" t="s">
        <v>83</v>
      </c>
      <c r="E96" s="191" t="str">
        <f>'11. PACKING'!N138</f>
        <v>#REF!</v>
      </c>
      <c r="F96" s="192" t="str">
        <f t="shared" si="25"/>
        <v>#REF!</v>
      </c>
      <c r="G96" s="219" t="str">
        <f>'11. PACKING'!N139</f>
        <v>#REF!</v>
      </c>
      <c r="H96" s="191" t="str">
        <f t="shared" si="26"/>
        <v>#REF!</v>
      </c>
      <c r="I96" s="232"/>
    </row>
    <row r="97" ht="24.0" customHeight="1">
      <c r="B97" s="194"/>
      <c r="C97" s="199"/>
      <c r="D97" s="210" t="s">
        <v>80</v>
      </c>
      <c r="E97" s="196" t="str">
        <f>'11. PACKING'!N144</f>
        <v>#REF!</v>
      </c>
      <c r="F97" s="197" t="str">
        <f t="shared" si="25"/>
        <v>#REF!</v>
      </c>
      <c r="G97" s="222" t="str">
        <f>'11. PACKING'!N145</f>
        <v>#REF!</v>
      </c>
      <c r="H97" s="196" t="str">
        <f t="shared" si="26"/>
        <v>#REF!</v>
      </c>
    </row>
    <row r="98" ht="24.0" customHeight="1">
      <c r="B98" s="194"/>
      <c r="C98" s="208"/>
      <c r="D98" s="209" t="s">
        <v>83</v>
      </c>
      <c r="E98" s="191" t="str">
        <f>'11. PACKING'!N209</f>
        <v>#REF!</v>
      </c>
      <c r="F98" s="192" t="str">
        <f t="shared" si="25"/>
        <v>#REF!</v>
      </c>
      <c r="G98" s="219" t="str">
        <f>'11. PACKING'!N210</f>
        <v>#REF!</v>
      </c>
      <c r="H98" s="191" t="str">
        <f t="shared" si="26"/>
        <v>#REF!</v>
      </c>
    </row>
    <row r="99" ht="24.0" customHeight="1">
      <c r="B99" s="194"/>
      <c r="C99" s="199"/>
      <c r="D99" s="210" t="s">
        <v>80</v>
      </c>
      <c r="E99" s="196" t="str">
        <f>'11. PACKING'!N215</f>
        <v>#REF!</v>
      </c>
      <c r="F99" s="197" t="str">
        <f t="shared" si="25"/>
        <v>#REF!</v>
      </c>
      <c r="G99" s="222" t="str">
        <f>'11. PACKING'!N216</f>
        <v>#REF!</v>
      </c>
      <c r="H99" s="196" t="str">
        <f t="shared" si="26"/>
        <v>#REF!</v>
      </c>
    </row>
    <row r="100" ht="24.0" customHeight="1">
      <c r="B100" s="194"/>
      <c r="C100" s="208"/>
      <c r="D100" s="209" t="s">
        <v>83</v>
      </c>
      <c r="E100" s="191" t="str">
        <f>'11. PACKING'!N248</f>
        <v>#REF!</v>
      </c>
      <c r="F100" s="192" t="str">
        <f t="shared" si="25"/>
        <v>#REF!</v>
      </c>
      <c r="G100" s="219" t="str">
        <f>'11. PACKING'!N249</f>
        <v>#REF!</v>
      </c>
      <c r="H100" s="191" t="str">
        <f t="shared" si="26"/>
        <v>#REF!</v>
      </c>
    </row>
    <row r="101" ht="24.0" customHeight="1">
      <c r="B101" s="194"/>
      <c r="C101" s="199"/>
      <c r="D101" s="210" t="s">
        <v>80</v>
      </c>
      <c r="E101" s="196" t="str">
        <f>'11. PACKING'!N254</f>
        <v>#REF!</v>
      </c>
      <c r="F101" s="197" t="str">
        <f t="shared" si="25"/>
        <v>#REF!</v>
      </c>
      <c r="G101" s="222" t="str">
        <f>'11. PACKING'!N255</f>
        <v>#REF!</v>
      </c>
      <c r="H101" s="196" t="str">
        <f t="shared" si="26"/>
        <v>#REF!</v>
      </c>
    </row>
    <row r="102" ht="24.0" customHeight="1">
      <c r="B102" s="194"/>
      <c r="C102" s="208"/>
      <c r="D102" s="209" t="s">
        <v>83</v>
      </c>
      <c r="E102" s="191" t="str">
        <f>'11. PACKING'!N286</f>
        <v>#REF!</v>
      </c>
      <c r="F102" s="192" t="str">
        <f t="shared" si="25"/>
        <v>#REF!</v>
      </c>
      <c r="G102" s="219" t="str">
        <f>'11. PACKING'!N287</f>
        <v>#REF!</v>
      </c>
      <c r="H102" s="191" t="str">
        <f t="shared" si="26"/>
        <v>#REF!</v>
      </c>
    </row>
    <row r="103" ht="24.0" customHeight="1">
      <c r="B103" s="194"/>
      <c r="C103" s="199"/>
      <c r="D103" s="210" t="s">
        <v>80</v>
      </c>
      <c r="E103" s="196" t="str">
        <f>'11. PACKING'!N292</f>
        <v>#REF!</v>
      </c>
      <c r="F103" s="197" t="str">
        <f t="shared" si="25"/>
        <v>#REF!</v>
      </c>
      <c r="G103" s="222" t="str">
        <f>'11. PACKING'!N293</f>
        <v>#REF!</v>
      </c>
      <c r="H103" s="196" t="str">
        <f t="shared" si="26"/>
        <v>#REF!</v>
      </c>
    </row>
    <row r="104" ht="24.0" customHeight="1">
      <c r="B104" s="194"/>
      <c r="C104" s="208"/>
      <c r="D104" s="209" t="s">
        <v>83</v>
      </c>
      <c r="E104" s="191" t="str">
        <f>'11. PACKING'!N173</f>
        <v>#REF!</v>
      </c>
      <c r="F104" s="192" t="str">
        <f t="shared" si="25"/>
        <v>#REF!</v>
      </c>
      <c r="G104" s="219" t="str">
        <f>'11. PACKING'!N174</f>
        <v>#REF!</v>
      </c>
      <c r="H104" s="191" t="str">
        <f t="shared" si="26"/>
        <v>#REF!</v>
      </c>
    </row>
    <row r="105" ht="24.0" customHeight="1">
      <c r="B105" s="199"/>
      <c r="C105" s="199"/>
      <c r="D105" s="210" t="s">
        <v>80</v>
      </c>
      <c r="E105" s="196" t="str">
        <f>'11. PACKING'!N179</f>
        <v>#REF!</v>
      </c>
      <c r="F105" s="197" t="str">
        <f t="shared" si="25"/>
        <v>#REF!</v>
      </c>
      <c r="G105" s="222" t="str">
        <f>'11. PACKING'!N180</f>
        <v>#REF!</v>
      </c>
      <c r="H105" s="196" t="str">
        <f t="shared" si="26"/>
        <v>#REF!</v>
      </c>
    </row>
    <row r="106" ht="6.75" customHeight="1">
      <c r="B106" s="201"/>
      <c r="C106" s="202"/>
      <c r="D106" s="201"/>
      <c r="E106" s="203"/>
      <c r="F106" s="204"/>
      <c r="G106" s="220"/>
      <c r="H106" s="203"/>
    </row>
    <row r="107" ht="24.0" customHeight="1">
      <c r="B107" s="207">
        <v>12.0</v>
      </c>
      <c r="C107" s="208"/>
      <c r="D107" s="209" t="s">
        <v>83</v>
      </c>
      <c r="E107" s="191" t="str">
        <f>'12. LOADSHIP'!N26</f>
        <v>#REF!</v>
      </c>
      <c r="F107" s="192" t="str">
        <f t="shared" ref="F107:F108" si="27">E107/60</f>
        <v>#REF!</v>
      </c>
      <c r="G107" s="219" t="str">
        <f>'12. LOADSHIP'!N27</f>
        <v>#REF!</v>
      </c>
      <c r="H107" s="191" t="str">
        <f t="shared" ref="H107:H108" si="28">G107*8</f>
        <v>#REF!</v>
      </c>
    </row>
    <row r="108" ht="24.0" customHeight="1">
      <c r="B108" s="199"/>
      <c r="C108" s="199"/>
      <c r="D108" s="210" t="s">
        <v>80</v>
      </c>
      <c r="E108" s="196" t="str">
        <f>'12. LOADSHIP'!N33</f>
        <v>#REF!</v>
      </c>
      <c r="F108" s="197" t="str">
        <f t="shared" si="27"/>
        <v>#REF!</v>
      </c>
      <c r="G108" s="222" t="str">
        <f>'12. LOADSHIP'!N34</f>
        <v>#REF!</v>
      </c>
      <c r="H108" s="196" t="str">
        <f t="shared" si="28"/>
        <v>#REF!</v>
      </c>
    </row>
    <row r="109" ht="6.75" customHeight="1">
      <c r="B109" s="201"/>
      <c r="C109" s="202"/>
      <c r="D109" s="201"/>
      <c r="E109" s="203"/>
      <c r="F109" s="204"/>
      <c r="G109" s="220"/>
      <c r="H109" s="203"/>
    </row>
    <row r="110" ht="24.0" customHeight="1">
      <c r="B110" s="207">
        <v>13.0</v>
      </c>
      <c r="C110" s="208"/>
      <c r="D110" s="209" t="s">
        <v>92</v>
      </c>
      <c r="E110" s="191" t="str">
        <f>'13. OUTBOUND'!N28</f>
        <v>#REF!</v>
      </c>
      <c r="F110" s="192" t="str">
        <f t="shared" ref="F110:F111" si="29">E110/60</f>
        <v>#REF!</v>
      </c>
      <c r="G110" s="219" t="str">
        <f>'13. OUTBOUND'!N29</f>
        <v>#REF!</v>
      </c>
      <c r="H110" s="191" t="str">
        <f t="shared" ref="H110:H111" si="30">G110*8</f>
        <v>#REF!</v>
      </c>
    </row>
    <row r="111" ht="24.0" customHeight="1">
      <c r="B111" s="199"/>
      <c r="C111" s="199"/>
      <c r="D111" s="210" t="s">
        <v>93</v>
      </c>
      <c r="E111" s="196" t="str">
        <f>'13. OUTBOUND'!N34</f>
        <v>#REF!</v>
      </c>
      <c r="F111" s="197" t="str">
        <f t="shared" si="29"/>
        <v>#REF!</v>
      </c>
      <c r="G111" s="222" t="str">
        <f>'13. OUTBOUND'!N35</f>
        <v>#REF!</v>
      </c>
      <c r="H111" s="196" t="str">
        <f t="shared" si="30"/>
        <v>#REF!</v>
      </c>
    </row>
    <row r="112" ht="6.75" customHeight="1">
      <c r="B112" s="201"/>
      <c r="C112" s="202"/>
      <c r="D112" s="201"/>
      <c r="E112" s="203"/>
      <c r="F112" s="204"/>
      <c r="G112" s="220"/>
      <c r="H112" s="203"/>
    </row>
    <row r="113" ht="24.0" customHeight="1">
      <c r="B113" s="207">
        <v>14.0</v>
      </c>
      <c r="C113" s="208"/>
      <c r="D113" s="209" t="s">
        <v>83</v>
      </c>
      <c r="E113" s="191" t="str">
        <f>'14. RETURNS'!N28</f>
        <v>#REF!</v>
      </c>
      <c r="F113" s="192" t="str">
        <f t="shared" ref="F113:F116" si="31">E113/60</f>
        <v>#REF!</v>
      </c>
      <c r="G113" s="219" t="str">
        <f>'14. RETURNS'!N29</f>
        <v>#REF!</v>
      </c>
      <c r="H113" s="191" t="str">
        <f t="shared" ref="H113:H116" si="32">G113*8</f>
        <v>#REF!</v>
      </c>
    </row>
    <row r="114" ht="24.0" customHeight="1">
      <c r="B114" s="194"/>
      <c r="C114" s="199"/>
      <c r="D114" s="210" t="s">
        <v>80</v>
      </c>
      <c r="E114" s="196" t="str">
        <f>'14. RETURNS'!N35</f>
        <v>#REF!</v>
      </c>
      <c r="F114" s="197" t="str">
        <f t="shared" si="31"/>
        <v>#REF!</v>
      </c>
      <c r="G114" s="222" t="str">
        <f>'14. RETURNS'!N36</f>
        <v>#REF!</v>
      </c>
      <c r="H114" s="196" t="str">
        <f t="shared" si="32"/>
        <v>#REF!</v>
      </c>
    </row>
    <row r="115" ht="24.0" customHeight="1">
      <c r="B115" s="194"/>
      <c r="C115" s="208"/>
      <c r="D115" s="209" t="s">
        <v>92</v>
      </c>
      <c r="E115" s="191" t="str">
        <f>'14. RETURNS'!N68</f>
        <v>#REF!</v>
      </c>
      <c r="F115" s="192" t="str">
        <f t="shared" si="31"/>
        <v>#REF!</v>
      </c>
      <c r="G115" s="219" t="str">
        <f>'14. RETURNS'!N69</f>
        <v>#REF!</v>
      </c>
      <c r="H115" s="191" t="str">
        <f t="shared" si="32"/>
        <v>#REF!</v>
      </c>
    </row>
    <row r="116" ht="24.0" customHeight="1">
      <c r="B116" s="199"/>
      <c r="C116" s="199"/>
      <c r="D116" s="210" t="s">
        <v>80</v>
      </c>
      <c r="E116" s="196" t="str">
        <f>'14. RETURNS'!N74</f>
        <v>#REF!</v>
      </c>
      <c r="F116" s="197" t="str">
        <f t="shared" si="31"/>
        <v>#REF!</v>
      </c>
      <c r="G116" s="222" t="str">
        <f>'14. RETURNS'!N75</f>
        <v>#REF!</v>
      </c>
      <c r="H116" s="196" t="str">
        <f t="shared" si="32"/>
        <v>#REF!</v>
      </c>
    </row>
    <row r="117" ht="6.75" customHeight="1">
      <c r="B117" s="201"/>
      <c r="C117" s="202"/>
      <c r="D117" s="201"/>
      <c r="E117" s="203"/>
      <c r="F117" s="204"/>
      <c r="G117" s="220"/>
      <c r="H117" s="203"/>
    </row>
    <row r="118" ht="24.0" customHeight="1">
      <c r="B118" s="210">
        <v>15.0</v>
      </c>
      <c r="C118" s="233"/>
      <c r="D118" s="210"/>
      <c r="E118" s="196"/>
      <c r="F118" s="197">
        <f>E118/60</f>
        <v>0</v>
      </c>
      <c r="G118" s="222"/>
      <c r="H118" s="196">
        <f>G118*8</f>
        <v>0</v>
      </c>
    </row>
    <row r="119" ht="14.25" customHeight="1">
      <c r="B119" s="206"/>
      <c r="C119" s="234"/>
      <c r="D119" s="206"/>
      <c r="E119" s="206"/>
      <c r="F119" s="235"/>
      <c r="G119" s="236"/>
      <c r="H119" s="237"/>
    </row>
    <row r="120" ht="14.25" customHeight="1">
      <c r="B120" s="206"/>
      <c r="E120" s="153"/>
      <c r="F120" s="238"/>
      <c r="G120" s="155"/>
      <c r="H120" s="237"/>
    </row>
    <row r="121" ht="14.25" customHeight="1">
      <c r="B121" s="206"/>
      <c r="E121" s="153"/>
      <c r="F121" s="238"/>
      <c r="G121" s="155"/>
      <c r="H121" s="237"/>
    </row>
    <row r="122" ht="14.25" customHeight="1">
      <c r="B122" s="206"/>
      <c r="E122" s="153"/>
      <c r="F122" s="238"/>
      <c r="G122" s="155"/>
      <c r="H122" s="237"/>
    </row>
    <row r="123" ht="14.25" customHeight="1">
      <c r="B123" s="206"/>
      <c r="E123" s="153"/>
      <c r="F123" s="238"/>
      <c r="G123" s="155"/>
      <c r="H123" s="237"/>
    </row>
    <row r="124" ht="14.25" customHeight="1">
      <c r="B124" s="206"/>
      <c r="E124" s="153"/>
      <c r="F124" s="238"/>
      <c r="G124" s="155"/>
      <c r="H124" s="237"/>
    </row>
    <row r="125" ht="14.25" customHeight="1">
      <c r="B125" s="206"/>
      <c r="E125" s="153"/>
      <c r="F125" s="238"/>
      <c r="G125" s="155"/>
      <c r="H125" s="237"/>
    </row>
    <row r="126" ht="14.25" customHeight="1">
      <c r="B126" s="206"/>
      <c r="E126" s="153"/>
      <c r="F126" s="238"/>
      <c r="G126" s="155"/>
      <c r="H126" s="237"/>
    </row>
    <row r="127" ht="14.25" customHeight="1">
      <c r="B127" s="206"/>
      <c r="E127" s="153"/>
      <c r="F127" s="238"/>
      <c r="G127" s="155"/>
      <c r="H127" s="154"/>
    </row>
    <row r="128" ht="14.25" customHeight="1">
      <c r="B128" s="206"/>
      <c r="E128" s="153"/>
      <c r="F128" s="154"/>
      <c r="G128" s="155"/>
      <c r="H128" s="154"/>
    </row>
    <row r="129" ht="14.25" customHeight="1">
      <c r="B129" s="206"/>
      <c r="E129" s="153"/>
      <c r="F129" s="154"/>
      <c r="G129" s="155"/>
      <c r="H129" s="154"/>
    </row>
    <row r="130" ht="14.25" customHeight="1">
      <c r="B130" s="206"/>
      <c r="E130" s="153"/>
      <c r="F130" s="154"/>
      <c r="G130" s="155"/>
      <c r="H130" s="154"/>
    </row>
    <row r="131" ht="14.25" customHeight="1">
      <c r="E131" s="153"/>
      <c r="F131" s="154"/>
      <c r="G131" s="155"/>
      <c r="H131" s="154"/>
    </row>
    <row r="132" ht="14.25" customHeight="1">
      <c r="E132" s="153"/>
      <c r="F132" s="154"/>
      <c r="G132" s="155"/>
      <c r="H132" s="154"/>
    </row>
    <row r="133" ht="14.25" customHeight="1">
      <c r="E133" s="153"/>
      <c r="F133" s="154"/>
      <c r="G133" s="155"/>
      <c r="H133" s="154"/>
    </row>
    <row r="134" ht="14.25" customHeight="1">
      <c r="E134" s="153"/>
      <c r="F134" s="154"/>
      <c r="G134" s="155"/>
      <c r="H134" s="154"/>
    </row>
    <row r="135" ht="14.25" customHeight="1">
      <c r="E135" s="153"/>
      <c r="F135" s="154"/>
      <c r="G135" s="155"/>
      <c r="H135" s="154"/>
    </row>
    <row r="136" ht="14.25" customHeight="1">
      <c r="E136" s="153"/>
      <c r="F136" s="154"/>
      <c r="G136" s="155"/>
      <c r="H136" s="154"/>
    </row>
    <row r="137" ht="14.25" customHeight="1">
      <c r="E137" s="153"/>
      <c r="F137" s="154"/>
      <c r="G137" s="155"/>
      <c r="H137" s="154"/>
    </row>
    <row r="138" ht="14.25" customHeight="1">
      <c r="E138" s="153"/>
      <c r="F138" s="154"/>
      <c r="G138" s="155"/>
      <c r="H138" s="154"/>
    </row>
    <row r="139" ht="14.25" customHeight="1">
      <c r="E139" s="153"/>
      <c r="F139" s="154"/>
      <c r="G139" s="155"/>
      <c r="H139" s="154"/>
    </row>
    <row r="140" ht="14.25" customHeight="1">
      <c r="E140" s="153"/>
      <c r="F140" s="154"/>
      <c r="G140" s="155"/>
      <c r="H140" s="154"/>
    </row>
    <row r="141" ht="14.25" customHeight="1">
      <c r="E141" s="153"/>
      <c r="F141" s="154"/>
      <c r="G141" s="155"/>
      <c r="H141" s="154"/>
    </row>
    <row r="142" ht="14.25" customHeight="1">
      <c r="E142" s="153"/>
      <c r="F142" s="154"/>
      <c r="G142" s="155"/>
      <c r="H142" s="154"/>
    </row>
    <row r="143" ht="14.25" customHeight="1">
      <c r="E143" s="153"/>
      <c r="F143" s="154"/>
      <c r="G143" s="155"/>
      <c r="H143" s="154"/>
    </row>
    <row r="144" ht="14.25" customHeight="1">
      <c r="E144" s="153"/>
      <c r="F144" s="154"/>
      <c r="G144" s="155"/>
      <c r="H144" s="154"/>
    </row>
    <row r="145" ht="14.25" customHeight="1">
      <c r="E145" s="153"/>
      <c r="F145" s="154"/>
      <c r="G145" s="155"/>
      <c r="H145" s="154"/>
    </row>
    <row r="146" ht="14.25" customHeight="1">
      <c r="E146" s="153"/>
      <c r="F146" s="154"/>
      <c r="G146" s="155"/>
      <c r="H146" s="154"/>
    </row>
    <row r="147" ht="14.25" customHeight="1">
      <c r="E147" s="153"/>
      <c r="F147" s="154"/>
      <c r="G147" s="155"/>
      <c r="H147" s="154"/>
    </row>
    <row r="148" ht="14.25" customHeight="1">
      <c r="E148" s="153"/>
      <c r="F148" s="154"/>
      <c r="G148" s="155"/>
      <c r="H148" s="154"/>
    </row>
    <row r="149" ht="14.25" customHeight="1">
      <c r="E149" s="153"/>
      <c r="F149" s="154"/>
      <c r="G149" s="155"/>
      <c r="H149" s="154"/>
    </row>
    <row r="150" ht="14.25" customHeight="1">
      <c r="E150" s="153"/>
      <c r="F150" s="154"/>
      <c r="G150" s="155"/>
      <c r="H150" s="154"/>
    </row>
    <row r="151" ht="14.25" customHeight="1">
      <c r="E151" s="153"/>
      <c r="F151" s="154"/>
      <c r="G151" s="155"/>
      <c r="H151" s="154"/>
    </row>
    <row r="152" ht="14.25" customHeight="1">
      <c r="E152" s="153"/>
      <c r="F152" s="154"/>
      <c r="G152" s="155"/>
      <c r="H152" s="154"/>
    </row>
    <row r="153" ht="14.25" customHeight="1">
      <c r="E153" s="153"/>
      <c r="F153" s="154"/>
      <c r="G153" s="155"/>
      <c r="H153" s="154"/>
    </row>
    <row r="154" ht="14.25" customHeight="1">
      <c r="E154" s="153"/>
      <c r="F154" s="154"/>
      <c r="G154" s="155"/>
      <c r="H154" s="154"/>
    </row>
    <row r="155" ht="14.25" customHeight="1">
      <c r="E155" s="153"/>
      <c r="F155" s="154"/>
      <c r="G155" s="155"/>
      <c r="H155" s="154"/>
    </row>
    <row r="156" ht="14.25" customHeight="1">
      <c r="E156" s="153"/>
      <c r="F156" s="154"/>
      <c r="G156" s="155"/>
      <c r="H156" s="154"/>
    </row>
    <row r="157" ht="14.25" customHeight="1">
      <c r="E157" s="153"/>
      <c r="F157" s="154"/>
      <c r="G157" s="155"/>
      <c r="H157" s="154"/>
    </row>
    <row r="158" ht="14.25" customHeight="1">
      <c r="E158" s="153"/>
      <c r="F158" s="154"/>
      <c r="G158" s="155"/>
      <c r="H158" s="154"/>
    </row>
    <row r="159" ht="14.25" customHeight="1">
      <c r="E159" s="153"/>
      <c r="F159" s="154"/>
      <c r="G159" s="155"/>
      <c r="H159" s="154"/>
    </row>
    <row r="160" ht="14.25" customHeight="1">
      <c r="E160" s="153"/>
      <c r="F160" s="154"/>
      <c r="G160" s="155"/>
      <c r="H160" s="154"/>
    </row>
    <row r="161" ht="14.25" customHeight="1">
      <c r="E161" s="153"/>
      <c r="F161" s="154"/>
      <c r="G161" s="155"/>
      <c r="H161" s="154"/>
    </row>
    <row r="162" ht="14.25" customHeight="1">
      <c r="E162" s="153"/>
      <c r="F162" s="154"/>
      <c r="G162" s="155"/>
      <c r="H162" s="154"/>
    </row>
    <row r="163" ht="14.25" customHeight="1">
      <c r="E163" s="153"/>
      <c r="F163" s="154"/>
      <c r="G163" s="155"/>
      <c r="H163" s="154"/>
    </row>
    <row r="164" ht="14.25" customHeight="1">
      <c r="E164" s="153"/>
      <c r="F164" s="154"/>
      <c r="G164" s="155"/>
      <c r="H164" s="154"/>
    </row>
    <row r="165" ht="14.25" customHeight="1">
      <c r="E165" s="153"/>
      <c r="F165" s="154"/>
      <c r="G165" s="155"/>
      <c r="H165" s="154"/>
    </row>
    <row r="166" ht="14.25" customHeight="1">
      <c r="E166" s="153"/>
      <c r="F166" s="154"/>
      <c r="G166" s="155"/>
      <c r="H166" s="154"/>
    </row>
    <row r="167" ht="14.25" customHeight="1">
      <c r="E167" s="153"/>
      <c r="F167" s="154"/>
      <c r="G167" s="155"/>
      <c r="H167" s="154"/>
    </row>
    <row r="168" ht="14.25" customHeight="1">
      <c r="E168" s="153"/>
      <c r="F168" s="154"/>
      <c r="G168" s="155"/>
      <c r="H168" s="154"/>
    </row>
    <row r="169" ht="14.25" customHeight="1">
      <c r="E169" s="153"/>
      <c r="F169" s="154"/>
      <c r="G169" s="155"/>
      <c r="H169" s="154"/>
    </row>
    <row r="170" ht="14.25" customHeight="1">
      <c r="E170" s="153"/>
      <c r="F170" s="154"/>
      <c r="G170" s="155"/>
      <c r="H170" s="154"/>
    </row>
    <row r="171" ht="14.25" customHeight="1">
      <c r="E171" s="153"/>
      <c r="F171" s="154"/>
      <c r="G171" s="155"/>
      <c r="H171" s="154"/>
    </row>
    <row r="172" ht="14.25" customHeight="1">
      <c r="E172" s="153"/>
      <c r="F172" s="154"/>
      <c r="G172" s="155"/>
      <c r="H172" s="154"/>
    </row>
    <row r="173" ht="14.25" customHeight="1">
      <c r="E173" s="153"/>
      <c r="F173" s="154"/>
      <c r="G173" s="155"/>
      <c r="H173" s="154"/>
    </row>
    <row r="174" ht="14.25" customHeight="1">
      <c r="E174" s="153"/>
      <c r="F174" s="154"/>
      <c r="G174" s="155"/>
      <c r="H174" s="154"/>
    </row>
    <row r="175" ht="14.25" customHeight="1">
      <c r="E175" s="153"/>
      <c r="F175" s="154"/>
      <c r="G175" s="155"/>
      <c r="H175" s="154"/>
    </row>
    <row r="176" ht="14.25" customHeight="1">
      <c r="E176" s="153"/>
      <c r="F176" s="154"/>
      <c r="G176" s="155"/>
      <c r="H176" s="154"/>
    </row>
    <row r="177" ht="14.25" customHeight="1">
      <c r="E177" s="153"/>
      <c r="F177" s="154"/>
      <c r="G177" s="155"/>
      <c r="H177" s="154"/>
    </row>
    <row r="178" ht="14.25" customHeight="1">
      <c r="E178" s="153"/>
      <c r="F178" s="154"/>
      <c r="G178" s="155"/>
      <c r="H178" s="154"/>
    </row>
    <row r="179" ht="14.25" customHeight="1">
      <c r="E179" s="153"/>
      <c r="F179" s="154"/>
      <c r="G179" s="155"/>
      <c r="H179" s="154"/>
    </row>
    <row r="180" ht="14.25" customHeight="1">
      <c r="E180" s="153"/>
      <c r="F180" s="154"/>
      <c r="G180" s="155"/>
      <c r="H180" s="154"/>
    </row>
    <row r="181" ht="14.25" customHeight="1">
      <c r="E181" s="153"/>
      <c r="F181" s="154"/>
      <c r="G181" s="155"/>
      <c r="H181" s="154"/>
    </row>
    <row r="182" ht="14.25" customHeight="1">
      <c r="E182" s="153"/>
      <c r="F182" s="154"/>
      <c r="G182" s="155"/>
      <c r="H182" s="154"/>
    </row>
    <row r="183" ht="14.25" customHeight="1">
      <c r="E183" s="153"/>
      <c r="F183" s="154"/>
      <c r="G183" s="155"/>
      <c r="H183" s="154"/>
    </row>
    <row r="184" ht="14.25" customHeight="1">
      <c r="E184" s="153"/>
      <c r="F184" s="154"/>
      <c r="G184" s="155"/>
      <c r="H184" s="154"/>
    </row>
    <row r="185" ht="14.25" customHeight="1">
      <c r="E185" s="153"/>
      <c r="F185" s="154"/>
      <c r="G185" s="155"/>
      <c r="H185" s="154"/>
    </row>
    <row r="186" ht="14.25" customHeight="1">
      <c r="E186" s="153"/>
      <c r="F186" s="154"/>
      <c r="G186" s="155"/>
      <c r="H186" s="154"/>
    </row>
    <row r="187" ht="14.25" customHeight="1">
      <c r="E187" s="153"/>
      <c r="F187" s="154"/>
      <c r="G187" s="155"/>
      <c r="H187" s="154"/>
    </row>
    <row r="188" ht="14.25" customHeight="1">
      <c r="E188" s="153"/>
      <c r="F188" s="154"/>
      <c r="G188" s="155"/>
      <c r="H188" s="154"/>
    </row>
    <row r="189" ht="14.25" customHeight="1">
      <c r="E189" s="153"/>
      <c r="F189" s="154"/>
      <c r="G189" s="155"/>
      <c r="H189" s="154"/>
    </row>
    <row r="190" ht="14.25" customHeight="1">
      <c r="E190" s="153"/>
      <c r="F190" s="154"/>
      <c r="G190" s="155"/>
      <c r="H190" s="154"/>
    </row>
    <row r="191" ht="14.25" customHeight="1">
      <c r="E191" s="153"/>
      <c r="F191" s="154"/>
      <c r="G191" s="155"/>
      <c r="H191" s="154"/>
    </row>
    <row r="192" ht="14.25" customHeight="1">
      <c r="E192" s="153"/>
      <c r="F192" s="154"/>
      <c r="G192" s="155"/>
      <c r="H192" s="154"/>
    </row>
    <row r="193" ht="14.25" customHeight="1">
      <c r="E193" s="153"/>
      <c r="F193" s="154"/>
      <c r="G193" s="155"/>
      <c r="H193" s="154"/>
    </row>
    <row r="194" ht="14.25" customHeight="1">
      <c r="E194" s="153"/>
      <c r="F194" s="154"/>
      <c r="G194" s="155"/>
      <c r="H194" s="154"/>
    </row>
    <row r="195" ht="14.25" customHeight="1">
      <c r="E195" s="153"/>
      <c r="F195" s="154"/>
      <c r="G195" s="155"/>
      <c r="H195" s="154"/>
    </row>
    <row r="196" ht="14.25" customHeight="1">
      <c r="E196" s="153"/>
      <c r="F196" s="154"/>
      <c r="G196" s="155"/>
      <c r="H196" s="154"/>
    </row>
    <row r="197" ht="14.25" customHeight="1">
      <c r="E197" s="153"/>
      <c r="F197" s="154"/>
      <c r="G197" s="155"/>
      <c r="H197" s="154"/>
    </row>
    <row r="198" ht="14.25" customHeight="1">
      <c r="E198" s="153"/>
      <c r="F198" s="154"/>
      <c r="G198" s="155"/>
      <c r="H198" s="154"/>
    </row>
    <row r="199" ht="14.25" customHeight="1">
      <c r="E199" s="153"/>
      <c r="F199" s="154"/>
      <c r="G199" s="155"/>
      <c r="H199" s="154"/>
    </row>
    <row r="200" ht="14.25" customHeight="1">
      <c r="E200" s="153"/>
      <c r="F200" s="154"/>
      <c r="G200" s="155"/>
      <c r="H200" s="154"/>
    </row>
    <row r="201" ht="14.25" customHeight="1">
      <c r="E201" s="153"/>
      <c r="F201" s="154"/>
      <c r="G201" s="155"/>
      <c r="H201" s="154"/>
    </row>
    <row r="202" ht="14.25" customHeight="1">
      <c r="E202" s="153"/>
      <c r="F202" s="154"/>
      <c r="G202" s="155"/>
      <c r="H202" s="154"/>
    </row>
    <row r="203" ht="14.25" customHeight="1">
      <c r="E203" s="153"/>
      <c r="F203" s="154"/>
      <c r="G203" s="155"/>
      <c r="H203" s="154"/>
    </row>
    <row r="204" ht="14.25" customHeight="1">
      <c r="E204" s="153"/>
      <c r="F204" s="154"/>
      <c r="G204" s="155"/>
      <c r="H204" s="154"/>
    </row>
    <row r="205" ht="14.25" customHeight="1">
      <c r="E205" s="153"/>
      <c r="F205" s="154"/>
      <c r="G205" s="155"/>
      <c r="H205" s="154"/>
    </row>
    <row r="206" ht="14.25" customHeight="1">
      <c r="E206" s="153"/>
      <c r="F206" s="154"/>
      <c r="G206" s="155"/>
      <c r="H206" s="154"/>
    </row>
    <row r="207" ht="14.25" customHeight="1">
      <c r="E207" s="153"/>
      <c r="F207" s="154"/>
      <c r="G207" s="155"/>
      <c r="H207" s="154"/>
    </row>
    <row r="208" ht="14.25" customHeight="1">
      <c r="E208" s="153"/>
      <c r="F208" s="154"/>
      <c r="G208" s="155"/>
      <c r="H208" s="154"/>
    </row>
    <row r="209" ht="14.25" customHeight="1">
      <c r="E209" s="153"/>
      <c r="F209" s="154"/>
      <c r="G209" s="155"/>
      <c r="H209" s="154"/>
    </row>
    <row r="210" ht="14.25" customHeight="1">
      <c r="E210" s="153"/>
      <c r="F210" s="154"/>
      <c r="G210" s="155"/>
      <c r="H210" s="154"/>
    </row>
    <row r="211" ht="14.25" customHeight="1">
      <c r="E211" s="153"/>
      <c r="F211" s="154"/>
      <c r="G211" s="155"/>
      <c r="H211" s="154"/>
    </row>
    <row r="212" ht="14.25" customHeight="1">
      <c r="E212" s="153"/>
      <c r="F212" s="154"/>
      <c r="G212" s="155"/>
      <c r="H212" s="154"/>
    </row>
    <row r="213" ht="14.25" customHeight="1">
      <c r="E213" s="153"/>
      <c r="F213" s="154"/>
      <c r="G213" s="155"/>
      <c r="H213" s="154"/>
    </row>
    <row r="214" ht="14.25" customHeight="1">
      <c r="E214" s="153"/>
      <c r="F214" s="154"/>
      <c r="G214" s="155"/>
      <c r="H214" s="154"/>
    </row>
    <row r="215" ht="14.25" customHeight="1">
      <c r="E215" s="153"/>
      <c r="F215" s="154"/>
      <c r="G215" s="155"/>
      <c r="H215" s="154"/>
    </row>
    <row r="216" ht="14.25" customHeight="1">
      <c r="E216" s="153"/>
      <c r="F216" s="154"/>
      <c r="G216" s="155"/>
      <c r="H216" s="154"/>
    </row>
    <row r="217" ht="14.25" customHeight="1">
      <c r="E217" s="153"/>
      <c r="F217" s="154"/>
      <c r="G217" s="155"/>
      <c r="H217" s="154"/>
    </row>
    <row r="218" ht="14.25" customHeight="1">
      <c r="E218" s="153"/>
      <c r="F218" s="154"/>
      <c r="G218" s="155"/>
      <c r="H218" s="154"/>
    </row>
    <row r="219" ht="14.25" customHeight="1">
      <c r="E219" s="153"/>
      <c r="F219" s="154"/>
      <c r="G219" s="155"/>
      <c r="H219" s="154"/>
    </row>
    <row r="220" ht="14.25" customHeight="1">
      <c r="E220" s="153"/>
      <c r="F220" s="154"/>
      <c r="G220" s="155"/>
      <c r="H220" s="154"/>
    </row>
    <row r="221" ht="14.25" customHeight="1">
      <c r="E221" s="153"/>
      <c r="F221" s="154"/>
      <c r="G221" s="155"/>
      <c r="H221" s="154"/>
    </row>
    <row r="222" ht="14.25" customHeight="1">
      <c r="E222" s="153"/>
      <c r="F222" s="154"/>
      <c r="G222" s="155"/>
      <c r="H222" s="154"/>
    </row>
    <row r="223" ht="14.25" customHeight="1">
      <c r="E223" s="153"/>
      <c r="F223" s="154"/>
      <c r="G223" s="155"/>
      <c r="H223" s="154"/>
    </row>
    <row r="224" ht="14.25" customHeight="1">
      <c r="E224" s="153"/>
      <c r="F224" s="154"/>
      <c r="G224" s="155"/>
      <c r="H224" s="154"/>
    </row>
    <row r="225" ht="14.25" customHeight="1">
      <c r="E225" s="153"/>
      <c r="F225" s="154"/>
      <c r="G225" s="155"/>
      <c r="H225" s="154"/>
    </row>
    <row r="226" ht="14.25" customHeight="1">
      <c r="E226" s="153"/>
      <c r="F226" s="154"/>
      <c r="G226" s="155"/>
      <c r="H226" s="154"/>
    </row>
    <row r="227" ht="14.25" customHeight="1">
      <c r="E227" s="153"/>
      <c r="F227" s="154"/>
      <c r="G227" s="155"/>
      <c r="H227" s="154"/>
    </row>
    <row r="228" ht="14.25" customHeight="1">
      <c r="E228" s="153"/>
      <c r="F228" s="154"/>
      <c r="G228" s="155"/>
      <c r="H228" s="154"/>
    </row>
    <row r="229" ht="14.25" customHeight="1">
      <c r="E229" s="153"/>
      <c r="F229" s="154"/>
      <c r="G229" s="155"/>
      <c r="H229" s="154"/>
    </row>
    <row r="230" ht="14.25" customHeight="1">
      <c r="E230" s="153"/>
      <c r="F230" s="154"/>
      <c r="G230" s="155"/>
      <c r="H230" s="154"/>
    </row>
    <row r="231" ht="14.25" customHeight="1">
      <c r="E231" s="153"/>
      <c r="F231" s="154"/>
      <c r="G231" s="155"/>
      <c r="H231" s="154"/>
    </row>
    <row r="232" ht="14.25" customHeight="1">
      <c r="E232" s="153"/>
      <c r="F232" s="154"/>
      <c r="G232" s="155"/>
      <c r="H232" s="154"/>
    </row>
    <row r="233" ht="14.25" customHeight="1">
      <c r="E233" s="153"/>
      <c r="F233" s="154"/>
      <c r="G233" s="155"/>
      <c r="H233" s="154"/>
    </row>
    <row r="234" ht="14.25" customHeight="1">
      <c r="E234" s="153"/>
      <c r="F234" s="154"/>
      <c r="G234" s="155"/>
      <c r="H234" s="154"/>
    </row>
    <row r="235" ht="14.25" customHeight="1">
      <c r="E235" s="153"/>
      <c r="F235" s="154"/>
      <c r="G235" s="155"/>
      <c r="H235" s="154"/>
    </row>
    <row r="236" ht="14.25" customHeight="1">
      <c r="E236" s="153"/>
      <c r="F236" s="154"/>
      <c r="G236" s="155"/>
      <c r="H236" s="154"/>
    </row>
    <row r="237" ht="14.25" customHeight="1">
      <c r="E237" s="153"/>
      <c r="F237" s="154"/>
      <c r="G237" s="155"/>
      <c r="H237" s="154"/>
    </row>
    <row r="238" ht="14.25" customHeight="1">
      <c r="E238" s="153"/>
      <c r="F238" s="154"/>
      <c r="G238" s="155"/>
      <c r="H238" s="154"/>
    </row>
    <row r="239" ht="14.25" customHeight="1">
      <c r="E239" s="153"/>
      <c r="F239" s="154"/>
      <c r="G239" s="155"/>
      <c r="H239" s="154"/>
    </row>
    <row r="240" ht="14.25" customHeight="1">
      <c r="E240" s="153"/>
      <c r="F240" s="154"/>
      <c r="G240" s="155"/>
      <c r="H240" s="154"/>
    </row>
    <row r="241" ht="14.25" customHeight="1">
      <c r="E241" s="153"/>
      <c r="F241" s="154"/>
      <c r="G241" s="155"/>
      <c r="H241" s="154"/>
    </row>
    <row r="242" ht="14.25" customHeight="1">
      <c r="E242" s="153"/>
      <c r="F242" s="154"/>
      <c r="G242" s="155"/>
      <c r="H242" s="154"/>
    </row>
    <row r="243" ht="14.25" customHeight="1">
      <c r="E243" s="153"/>
      <c r="F243" s="154"/>
      <c r="G243" s="155"/>
      <c r="H243" s="154"/>
    </row>
    <row r="244" ht="14.25" customHeight="1">
      <c r="E244" s="153"/>
      <c r="F244" s="154"/>
      <c r="G244" s="155"/>
      <c r="H244" s="154"/>
    </row>
    <row r="245" ht="14.25" customHeight="1">
      <c r="E245" s="153"/>
      <c r="F245" s="154"/>
      <c r="G245" s="155"/>
      <c r="H245" s="154"/>
    </row>
    <row r="246" ht="14.25" customHeight="1">
      <c r="E246" s="153"/>
      <c r="F246" s="154"/>
      <c r="G246" s="155"/>
      <c r="H246" s="154"/>
    </row>
    <row r="247" ht="14.25" customHeight="1">
      <c r="E247" s="153"/>
      <c r="F247" s="154"/>
      <c r="G247" s="155"/>
      <c r="H247" s="154"/>
    </row>
    <row r="248" ht="14.25" customHeight="1">
      <c r="E248" s="153"/>
      <c r="F248" s="154"/>
      <c r="G248" s="155"/>
      <c r="H248" s="154"/>
    </row>
    <row r="249" ht="14.25" customHeight="1">
      <c r="E249" s="153"/>
      <c r="F249" s="154"/>
      <c r="G249" s="155"/>
      <c r="H249" s="154"/>
    </row>
    <row r="250" ht="14.25" customHeight="1">
      <c r="E250" s="153"/>
      <c r="F250" s="154"/>
      <c r="G250" s="155"/>
      <c r="H250" s="154"/>
    </row>
    <row r="251" ht="14.25" customHeight="1">
      <c r="E251" s="153"/>
      <c r="F251" s="154"/>
      <c r="G251" s="155"/>
      <c r="H251" s="154"/>
    </row>
    <row r="252" ht="14.25" customHeight="1">
      <c r="E252" s="153"/>
      <c r="F252" s="154"/>
      <c r="G252" s="155"/>
      <c r="H252" s="154"/>
    </row>
    <row r="253" ht="14.25" customHeight="1">
      <c r="E253" s="153"/>
      <c r="F253" s="154"/>
      <c r="G253" s="155"/>
      <c r="H253" s="154"/>
    </row>
    <row r="254" ht="14.25" customHeight="1">
      <c r="E254" s="153"/>
      <c r="F254" s="154"/>
      <c r="G254" s="155"/>
      <c r="H254" s="154"/>
    </row>
    <row r="255" ht="14.25" customHeight="1">
      <c r="E255" s="153"/>
      <c r="F255" s="154"/>
      <c r="G255" s="155"/>
      <c r="H255" s="154"/>
    </row>
    <row r="256" ht="14.25" customHeight="1">
      <c r="E256" s="153"/>
      <c r="F256" s="154"/>
      <c r="G256" s="155"/>
      <c r="H256" s="154"/>
    </row>
    <row r="257" ht="14.25" customHeight="1">
      <c r="E257" s="153"/>
      <c r="F257" s="154"/>
      <c r="G257" s="155"/>
      <c r="H257" s="154"/>
    </row>
    <row r="258" ht="14.25" customHeight="1">
      <c r="E258" s="153"/>
      <c r="F258" s="154"/>
      <c r="G258" s="155"/>
      <c r="H258" s="154"/>
    </row>
    <row r="259" ht="14.25" customHeight="1">
      <c r="E259" s="153"/>
      <c r="F259" s="154"/>
      <c r="G259" s="155"/>
      <c r="H259" s="154"/>
    </row>
    <row r="260" ht="14.25" customHeight="1">
      <c r="E260" s="153"/>
      <c r="F260" s="154"/>
      <c r="G260" s="155"/>
      <c r="H260" s="154"/>
    </row>
    <row r="261" ht="14.25" customHeight="1">
      <c r="E261" s="153"/>
      <c r="F261" s="154"/>
      <c r="G261" s="155"/>
      <c r="H261" s="154"/>
    </row>
    <row r="262" ht="14.25" customHeight="1">
      <c r="E262" s="153"/>
      <c r="F262" s="154"/>
      <c r="G262" s="155"/>
      <c r="H262" s="154"/>
    </row>
    <row r="263" ht="14.25" customHeight="1">
      <c r="E263" s="153"/>
      <c r="F263" s="154"/>
      <c r="G263" s="155"/>
      <c r="H263" s="154"/>
    </row>
    <row r="264" ht="14.25" customHeight="1">
      <c r="E264" s="153"/>
      <c r="F264" s="154"/>
      <c r="G264" s="155"/>
      <c r="H264" s="154"/>
    </row>
    <row r="265" ht="14.25" customHeight="1">
      <c r="E265" s="153"/>
      <c r="F265" s="154"/>
      <c r="G265" s="155"/>
      <c r="H265" s="154"/>
    </row>
    <row r="266" ht="14.25" customHeight="1">
      <c r="E266" s="153"/>
      <c r="F266" s="154"/>
      <c r="G266" s="155"/>
      <c r="H266" s="154"/>
    </row>
    <row r="267" ht="14.25" customHeight="1">
      <c r="E267" s="153"/>
      <c r="F267" s="154"/>
      <c r="G267" s="155"/>
      <c r="H267" s="154"/>
    </row>
    <row r="268" ht="14.25" customHeight="1">
      <c r="E268" s="153"/>
      <c r="F268" s="154"/>
      <c r="G268" s="155"/>
      <c r="H268" s="154"/>
    </row>
    <row r="269" ht="14.25" customHeight="1">
      <c r="E269" s="153"/>
      <c r="F269" s="154"/>
      <c r="G269" s="155"/>
      <c r="H269" s="154"/>
    </row>
    <row r="270" ht="14.25" customHeight="1">
      <c r="E270" s="153"/>
      <c r="F270" s="154"/>
      <c r="G270" s="155"/>
      <c r="H270" s="154"/>
    </row>
    <row r="271" ht="14.25" customHeight="1">
      <c r="E271" s="153"/>
      <c r="F271" s="154"/>
      <c r="G271" s="155"/>
      <c r="H271" s="154"/>
    </row>
    <row r="272" ht="14.25" customHeight="1">
      <c r="E272" s="153"/>
      <c r="F272" s="154"/>
      <c r="G272" s="155"/>
      <c r="H272" s="154"/>
    </row>
    <row r="273" ht="14.25" customHeight="1">
      <c r="E273" s="153"/>
      <c r="F273" s="154"/>
      <c r="G273" s="155"/>
      <c r="H273" s="154"/>
    </row>
    <row r="274" ht="14.25" customHeight="1">
      <c r="E274" s="153"/>
      <c r="F274" s="154"/>
      <c r="G274" s="155"/>
      <c r="H274" s="154"/>
    </row>
    <row r="275" ht="14.25" customHeight="1">
      <c r="E275" s="153"/>
      <c r="F275" s="154"/>
      <c r="G275" s="155"/>
      <c r="H275" s="154"/>
    </row>
    <row r="276" ht="14.25" customHeight="1">
      <c r="E276" s="153"/>
      <c r="F276" s="154"/>
      <c r="G276" s="155"/>
      <c r="H276" s="154"/>
    </row>
    <row r="277" ht="14.25" customHeight="1">
      <c r="E277" s="153"/>
      <c r="F277" s="154"/>
      <c r="G277" s="155"/>
      <c r="H277" s="154"/>
    </row>
    <row r="278" ht="14.25" customHeight="1">
      <c r="E278" s="153"/>
      <c r="F278" s="154"/>
      <c r="G278" s="155"/>
      <c r="H278" s="154"/>
    </row>
    <row r="279" ht="14.25" customHeight="1">
      <c r="E279" s="153"/>
      <c r="F279" s="154"/>
      <c r="G279" s="155"/>
      <c r="H279" s="154"/>
    </row>
    <row r="280" ht="14.25" customHeight="1">
      <c r="E280" s="153"/>
      <c r="F280" s="154"/>
      <c r="G280" s="155"/>
      <c r="H280" s="154"/>
    </row>
    <row r="281" ht="14.25" customHeight="1">
      <c r="E281" s="153"/>
      <c r="F281" s="154"/>
      <c r="G281" s="155"/>
      <c r="H281" s="154"/>
    </row>
    <row r="282" ht="14.25" customHeight="1">
      <c r="E282" s="153"/>
      <c r="F282" s="154"/>
      <c r="G282" s="155"/>
      <c r="H282" s="154"/>
    </row>
    <row r="283" ht="14.25" customHeight="1">
      <c r="E283" s="153"/>
      <c r="F283" s="154"/>
      <c r="G283" s="155"/>
      <c r="H283" s="154"/>
    </row>
    <row r="284" ht="14.25" customHeight="1">
      <c r="E284" s="153"/>
      <c r="F284" s="154"/>
      <c r="G284" s="155"/>
      <c r="H284" s="154"/>
    </row>
    <row r="285" ht="14.25" customHeight="1">
      <c r="E285" s="153"/>
      <c r="F285" s="154"/>
      <c r="G285" s="155"/>
      <c r="H285" s="154"/>
    </row>
    <row r="286" ht="14.25" customHeight="1">
      <c r="E286" s="153"/>
      <c r="F286" s="154"/>
      <c r="G286" s="155"/>
      <c r="H286" s="154"/>
    </row>
    <row r="287" ht="14.25" customHeight="1">
      <c r="E287" s="153"/>
      <c r="F287" s="154"/>
      <c r="G287" s="155"/>
      <c r="H287" s="154"/>
    </row>
    <row r="288" ht="14.25" customHeight="1">
      <c r="E288" s="153"/>
      <c r="F288" s="154"/>
      <c r="G288" s="155"/>
      <c r="H288" s="154"/>
    </row>
    <row r="289" ht="14.25" customHeight="1">
      <c r="E289" s="153"/>
      <c r="F289" s="154"/>
      <c r="G289" s="155"/>
      <c r="H289" s="154"/>
    </row>
    <row r="290" ht="14.25" customHeight="1">
      <c r="E290" s="153"/>
      <c r="F290" s="154"/>
      <c r="G290" s="155"/>
      <c r="H290" s="154"/>
    </row>
    <row r="291" ht="14.25" customHeight="1">
      <c r="E291" s="153"/>
      <c r="F291" s="154"/>
      <c r="G291" s="155"/>
      <c r="H291" s="154"/>
    </row>
    <row r="292" ht="14.25" customHeight="1">
      <c r="E292" s="153"/>
      <c r="F292" s="154"/>
      <c r="G292" s="155"/>
      <c r="H292" s="154"/>
    </row>
    <row r="293" ht="14.25" customHeight="1">
      <c r="E293" s="153"/>
      <c r="F293" s="154"/>
      <c r="G293" s="155"/>
      <c r="H293" s="154"/>
    </row>
    <row r="294" ht="14.25" customHeight="1">
      <c r="E294" s="153"/>
      <c r="F294" s="154"/>
      <c r="G294" s="155"/>
      <c r="H294" s="154"/>
    </row>
    <row r="295" ht="14.25" customHeight="1">
      <c r="E295" s="153"/>
      <c r="F295" s="154"/>
      <c r="G295" s="155"/>
      <c r="H295" s="154"/>
    </row>
    <row r="296" ht="14.25" customHeight="1">
      <c r="E296" s="153"/>
      <c r="F296" s="154"/>
      <c r="G296" s="155"/>
      <c r="H296" s="154"/>
    </row>
    <row r="297" ht="14.25" customHeight="1">
      <c r="E297" s="153"/>
      <c r="F297" s="154"/>
      <c r="G297" s="155"/>
      <c r="H297" s="154"/>
    </row>
    <row r="298" ht="14.25" customHeight="1">
      <c r="E298" s="153"/>
      <c r="F298" s="154"/>
      <c r="G298" s="155"/>
      <c r="H298" s="154"/>
    </row>
    <row r="299" ht="14.25" customHeight="1">
      <c r="E299" s="153"/>
      <c r="F299" s="154"/>
      <c r="G299" s="155"/>
      <c r="H299" s="154"/>
    </row>
    <row r="300" ht="14.25" customHeight="1">
      <c r="E300" s="153"/>
      <c r="F300" s="154"/>
      <c r="G300" s="155"/>
      <c r="H300" s="154"/>
    </row>
    <row r="301" ht="14.25" customHeight="1">
      <c r="E301" s="153"/>
      <c r="F301" s="154"/>
      <c r="G301" s="155"/>
      <c r="H301" s="154"/>
    </row>
    <row r="302" ht="14.25" customHeight="1">
      <c r="E302" s="153"/>
      <c r="F302" s="154"/>
      <c r="G302" s="155"/>
      <c r="H302" s="154"/>
    </row>
    <row r="303" ht="14.25" customHeight="1">
      <c r="E303" s="153"/>
      <c r="F303" s="154"/>
      <c r="G303" s="155"/>
      <c r="H303" s="154"/>
    </row>
    <row r="304" ht="14.25" customHeight="1">
      <c r="E304" s="153"/>
      <c r="F304" s="154"/>
      <c r="G304" s="155"/>
      <c r="H304" s="154"/>
    </row>
    <row r="305" ht="14.25" customHeight="1">
      <c r="E305" s="153"/>
      <c r="F305" s="154"/>
      <c r="G305" s="155"/>
      <c r="H305" s="154"/>
    </row>
    <row r="306" ht="14.25" customHeight="1">
      <c r="E306" s="153"/>
      <c r="F306" s="154"/>
      <c r="G306" s="155"/>
      <c r="H306" s="154"/>
    </row>
    <row r="307" ht="14.25" customHeight="1">
      <c r="E307" s="153"/>
      <c r="F307" s="154"/>
      <c r="G307" s="155"/>
      <c r="H307" s="154"/>
    </row>
    <row r="308" ht="14.25" customHeight="1">
      <c r="E308" s="153"/>
      <c r="F308" s="154"/>
      <c r="G308" s="155"/>
      <c r="H308" s="154"/>
    </row>
    <row r="309" ht="14.25" customHeight="1">
      <c r="E309" s="153"/>
      <c r="F309" s="154"/>
      <c r="G309" s="155"/>
      <c r="H309" s="154"/>
    </row>
    <row r="310" ht="14.25" customHeight="1">
      <c r="E310" s="153"/>
      <c r="F310" s="154"/>
      <c r="G310" s="155"/>
      <c r="H310" s="154"/>
    </row>
    <row r="311" ht="14.25" customHeight="1">
      <c r="E311" s="153"/>
      <c r="F311" s="154"/>
      <c r="G311" s="155"/>
      <c r="H311" s="154"/>
    </row>
    <row r="312" ht="14.25" customHeight="1">
      <c r="E312" s="153"/>
      <c r="F312" s="154"/>
      <c r="G312" s="155"/>
      <c r="H312" s="154"/>
    </row>
    <row r="313" ht="14.25" customHeight="1">
      <c r="E313" s="153"/>
      <c r="F313" s="154"/>
      <c r="G313" s="155"/>
      <c r="H313" s="154"/>
    </row>
    <row r="314" ht="14.25" customHeight="1">
      <c r="E314" s="153"/>
      <c r="F314" s="154"/>
      <c r="G314" s="155"/>
      <c r="H314" s="154"/>
    </row>
    <row r="315" ht="14.25" customHeight="1">
      <c r="E315" s="153"/>
      <c r="F315" s="154"/>
      <c r="G315" s="155"/>
      <c r="H315" s="154"/>
    </row>
    <row r="316" ht="14.25" customHeight="1">
      <c r="E316" s="153"/>
      <c r="F316" s="154"/>
      <c r="G316" s="155"/>
      <c r="H316" s="154"/>
    </row>
    <row r="317" ht="14.25" customHeight="1">
      <c r="E317" s="153"/>
      <c r="F317" s="154"/>
      <c r="G317" s="155"/>
      <c r="H317" s="154"/>
    </row>
    <row r="318" ht="14.25" customHeight="1">
      <c r="E318" s="153"/>
      <c r="F318" s="154"/>
      <c r="G318" s="155"/>
      <c r="H318" s="154"/>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C75:C76"/>
    <mergeCell ref="C77:C78"/>
    <mergeCell ref="C79:C80"/>
    <mergeCell ref="C82:C83"/>
    <mergeCell ref="C84:C85"/>
    <mergeCell ref="C86:C87"/>
    <mergeCell ref="C90:C91"/>
    <mergeCell ref="C92:C93"/>
    <mergeCell ref="C94:C95"/>
    <mergeCell ref="C96:C97"/>
    <mergeCell ref="C98:C99"/>
    <mergeCell ref="C100:C101"/>
    <mergeCell ref="C102:C103"/>
    <mergeCell ref="C104:C105"/>
    <mergeCell ref="E39:E40"/>
    <mergeCell ref="F39:F40"/>
    <mergeCell ref="G39:G40"/>
    <mergeCell ref="H39:H40"/>
    <mergeCell ref="B28:B31"/>
    <mergeCell ref="B33:B37"/>
    <mergeCell ref="C33:C35"/>
    <mergeCell ref="C36:C37"/>
    <mergeCell ref="C39:C40"/>
    <mergeCell ref="D39:D40"/>
    <mergeCell ref="C41:C42"/>
    <mergeCell ref="B39:B42"/>
    <mergeCell ref="B44:B45"/>
    <mergeCell ref="C44:C45"/>
    <mergeCell ref="B47:B49"/>
    <mergeCell ref="C47:C49"/>
    <mergeCell ref="B51:B52"/>
    <mergeCell ref="C51:C52"/>
    <mergeCell ref="C66:C67"/>
    <mergeCell ref="C68:C70"/>
    <mergeCell ref="B64:B73"/>
    <mergeCell ref="B75:B88"/>
    <mergeCell ref="B90:B105"/>
    <mergeCell ref="B107:B108"/>
    <mergeCell ref="B110:B111"/>
    <mergeCell ref="B113:B116"/>
    <mergeCell ref="B54:B57"/>
    <mergeCell ref="C54:C57"/>
    <mergeCell ref="B59:B62"/>
    <mergeCell ref="C59:C60"/>
    <mergeCell ref="C61:C62"/>
    <mergeCell ref="C64:C65"/>
    <mergeCell ref="C71:C73"/>
    <mergeCell ref="C107:C108"/>
    <mergeCell ref="C110:C111"/>
    <mergeCell ref="C113:C114"/>
    <mergeCell ref="C115:C116"/>
  </mergeCells>
  <hyperlinks>
    <hyperlink r:id="rId1" ref="C12"/>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6.86"/>
    <col customWidth="1" min="3" max="3" width="21.29"/>
    <col customWidth="1" min="4" max="4" width="17.57"/>
    <col customWidth="1" min="5" max="5" width="16.14"/>
    <col customWidth="1" min="6" max="6" width="18.29"/>
  </cols>
  <sheetData>
    <row r="1" ht="14.25" customHeight="1">
      <c r="A1" s="239" t="s">
        <v>94</v>
      </c>
      <c r="B1" s="240"/>
      <c r="C1" s="240"/>
      <c r="D1" s="240"/>
      <c r="E1" s="240"/>
      <c r="F1" s="240"/>
    </row>
    <row r="2" ht="57.75" customHeight="1">
      <c r="A2" s="241" t="s">
        <v>73</v>
      </c>
      <c r="B2" s="242" t="s">
        <v>74</v>
      </c>
      <c r="C2" s="242" t="s">
        <v>75</v>
      </c>
      <c r="D2" s="242" t="s">
        <v>76</v>
      </c>
      <c r="E2" s="243" t="s">
        <v>77</v>
      </c>
      <c r="F2" s="243" t="s">
        <v>78</v>
      </c>
    </row>
    <row r="3" ht="47.25" customHeight="1">
      <c r="A3" s="244" t="s">
        <v>95</v>
      </c>
      <c r="B3" s="245" t="s">
        <v>96</v>
      </c>
      <c r="C3" s="246" t="str">
        <f>'PICKING-MONDELEZ'!#REF!</f>
        <v>#ERROR!</v>
      </c>
      <c r="D3" s="246" t="str">
        <f t="shared" ref="D3:D11" si="1">C3/60</f>
        <v>#ERROR!</v>
      </c>
      <c r="E3" s="247" t="str">
        <f>'PICKING-MONDELEZ'!#REF!</f>
        <v>#ERROR!</v>
      </c>
      <c r="F3" s="247" t="str">
        <f t="shared" ref="F3:F11" si="2">E3*8</f>
        <v>#ERROR!</v>
      </c>
    </row>
    <row r="4" ht="29.25" customHeight="1">
      <c r="A4" s="248" t="s">
        <v>97</v>
      </c>
      <c r="B4" s="249" t="s">
        <v>81</v>
      </c>
      <c r="C4" s="250" t="str">
        <f t="shared" ref="C4:C11" si="3">#REF!</f>
        <v>#REF!</v>
      </c>
      <c r="D4" s="250" t="str">
        <f t="shared" si="1"/>
        <v>#REF!</v>
      </c>
      <c r="E4" s="251" t="str">
        <f t="shared" ref="E4:E11" si="4">#REF!</f>
        <v>#REF!</v>
      </c>
      <c r="F4" s="251" t="str">
        <f t="shared" si="2"/>
        <v>#REF!</v>
      </c>
    </row>
    <row r="5" ht="14.25" customHeight="1">
      <c r="A5" s="252" t="s">
        <v>98</v>
      </c>
      <c r="B5" s="253" t="s">
        <v>99</v>
      </c>
      <c r="C5" s="254" t="str">
        <f t="shared" si="3"/>
        <v>#REF!</v>
      </c>
      <c r="D5" s="254" t="str">
        <f t="shared" si="1"/>
        <v>#REF!</v>
      </c>
      <c r="E5" s="255" t="str">
        <f t="shared" si="4"/>
        <v>#REF!</v>
      </c>
      <c r="F5" s="255" t="str">
        <f t="shared" si="2"/>
        <v>#REF!</v>
      </c>
    </row>
    <row r="6" ht="14.25" customHeight="1">
      <c r="A6" s="194"/>
      <c r="B6" s="253" t="s">
        <v>81</v>
      </c>
      <c r="C6" s="254" t="str">
        <f t="shared" si="3"/>
        <v>#REF!</v>
      </c>
      <c r="D6" s="254" t="str">
        <f t="shared" si="1"/>
        <v>#REF!</v>
      </c>
      <c r="E6" s="255" t="str">
        <f t="shared" si="4"/>
        <v>#REF!</v>
      </c>
      <c r="F6" s="255" t="str">
        <f t="shared" si="2"/>
        <v>#REF!</v>
      </c>
    </row>
    <row r="7" ht="14.25" customHeight="1">
      <c r="A7" s="194"/>
      <c r="B7" s="253" t="s">
        <v>79</v>
      </c>
      <c r="C7" s="255" t="str">
        <f t="shared" si="3"/>
        <v>#REF!</v>
      </c>
      <c r="D7" s="254" t="str">
        <f t="shared" si="1"/>
        <v>#REF!</v>
      </c>
      <c r="E7" s="255" t="str">
        <f t="shared" si="4"/>
        <v>#REF!</v>
      </c>
      <c r="F7" s="255" t="str">
        <f t="shared" si="2"/>
        <v>#REF!</v>
      </c>
    </row>
    <row r="8" ht="14.25" customHeight="1">
      <c r="A8" s="199"/>
      <c r="B8" s="253" t="s">
        <v>100</v>
      </c>
      <c r="C8" s="255" t="str">
        <f t="shared" si="3"/>
        <v>#REF!</v>
      </c>
      <c r="D8" s="254" t="str">
        <f t="shared" si="1"/>
        <v>#REF!</v>
      </c>
      <c r="E8" s="255" t="str">
        <f t="shared" si="4"/>
        <v>#REF!</v>
      </c>
      <c r="F8" s="255" t="str">
        <f t="shared" si="2"/>
        <v>#REF!</v>
      </c>
    </row>
    <row r="9" ht="14.25" customHeight="1">
      <c r="A9" s="256" t="s">
        <v>101</v>
      </c>
      <c r="B9" s="257" t="s">
        <v>79</v>
      </c>
      <c r="C9" s="258" t="str">
        <f t="shared" si="3"/>
        <v>#REF!</v>
      </c>
      <c r="D9" s="258" t="str">
        <f t="shared" si="1"/>
        <v>#REF!</v>
      </c>
      <c r="E9" s="259" t="str">
        <f t="shared" si="4"/>
        <v>#REF!</v>
      </c>
      <c r="F9" s="258" t="str">
        <f t="shared" si="2"/>
        <v>#REF!</v>
      </c>
    </row>
    <row r="10" ht="14.25" customHeight="1">
      <c r="A10" s="194"/>
      <c r="B10" s="257" t="s">
        <v>102</v>
      </c>
      <c r="C10" s="259" t="str">
        <f t="shared" si="3"/>
        <v>#REF!</v>
      </c>
      <c r="D10" s="258" t="str">
        <f t="shared" si="1"/>
        <v>#REF!</v>
      </c>
      <c r="E10" s="259" t="str">
        <f t="shared" si="4"/>
        <v>#REF!</v>
      </c>
      <c r="F10" s="258" t="str">
        <f t="shared" si="2"/>
        <v>#REF!</v>
      </c>
    </row>
    <row r="11" ht="14.25" customHeight="1">
      <c r="A11" s="199"/>
      <c r="B11" s="257" t="s">
        <v>103</v>
      </c>
      <c r="C11" s="259" t="str">
        <f t="shared" si="3"/>
        <v>#REF!</v>
      </c>
      <c r="D11" s="258" t="str">
        <f t="shared" si="1"/>
        <v>#REF!</v>
      </c>
      <c r="E11" s="259" t="str">
        <f t="shared" si="4"/>
        <v>#REF!</v>
      </c>
      <c r="F11" s="258" t="str">
        <f t="shared" si="2"/>
        <v>#REF!</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5:A8"/>
    <mergeCell ref="A9:A1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showGridLines="0" workbookViewId="0"/>
  </sheetViews>
  <sheetFormatPr customHeight="1" defaultColWidth="14.43" defaultRowHeight="15.0"/>
  <cols>
    <col customWidth="1" min="1" max="1" width="3.57"/>
    <col customWidth="1" min="2" max="2" width="17.57"/>
    <col customWidth="1" min="3" max="3" width="29.29"/>
    <col customWidth="1" min="4" max="4" width="9.71"/>
    <col customWidth="1" min="5" max="5" width="13.14"/>
    <col customWidth="1" min="6" max="6" width="12.71"/>
    <col customWidth="1" min="7" max="7" width="9.0"/>
    <col customWidth="1" min="8" max="8" width="10.14"/>
    <col customWidth="1" min="9" max="9" width="16.43"/>
    <col customWidth="1" min="10" max="10" width="2.86"/>
  </cols>
  <sheetData>
    <row r="1" ht="13.5" customHeight="1">
      <c r="A1" s="260"/>
      <c r="B1" s="260"/>
      <c r="C1" s="260"/>
      <c r="D1" s="260"/>
      <c r="E1" s="260"/>
      <c r="F1" s="260"/>
      <c r="G1" s="260"/>
      <c r="H1" s="260"/>
      <c r="I1" s="260"/>
      <c r="J1" s="261"/>
    </row>
    <row r="2" ht="13.5" customHeight="1">
      <c r="A2" s="260"/>
      <c r="B2" s="262"/>
      <c r="C2" s="263"/>
      <c r="D2" s="264"/>
      <c r="E2" s="265"/>
      <c r="F2" s="260"/>
      <c r="G2" s="260"/>
      <c r="H2" s="260"/>
      <c r="I2" s="260"/>
      <c r="J2" s="261"/>
    </row>
    <row r="3" ht="13.5" customHeight="1">
      <c r="A3" s="260"/>
      <c r="B3" s="266"/>
      <c r="D3" s="267"/>
      <c r="E3" s="265"/>
      <c r="F3" s="260"/>
      <c r="G3" s="260"/>
      <c r="H3" s="260"/>
      <c r="I3" s="260"/>
      <c r="J3" s="261"/>
    </row>
    <row r="4" ht="13.5" customHeight="1">
      <c r="A4" s="260"/>
      <c r="B4" s="268" t="s">
        <v>104</v>
      </c>
      <c r="C4" s="269" t="s">
        <v>105</v>
      </c>
      <c r="D4" s="269" t="s">
        <v>106</v>
      </c>
      <c r="E4" s="260"/>
      <c r="F4" s="260"/>
      <c r="G4" s="260"/>
      <c r="H4" s="260"/>
      <c r="I4" s="260"/>
      <c r="J4" s="261"/>
    </row>
    <row r="5" ht="13.5" customHeight="1">
      <c r="A5" s="260"/>
      <c r="B5" s="270" t="s">
        <v>107</v>
      </c>
      <c r="C5" s="271">
        <v>0.01</v>
      </c>
      <c r="D5" s="272" t="s">
        <v>108</v>
      </c>
      <c r="E5" s="260"/>
      <c r="F5" s="260"/>
      <c r="G5" s="260"/>
      <c r="H5" s="260"/>
      <c r="I5" s="260"/>
      <c r="J5" s="261"/>
    </row>
    <row r="6" ht="13.5" customHeight="1">
      <c r="A6" s="260"/>
      <c r="B6" s="270" t="s">
        <v>109</v>
      </c>
      <c r="C6" s="271">
        <v>0.02</v>
      </c>
      <c r="D6" s="272" t="s">
        <v>110</v>
      </c>
      <c r="E6" s="260"/>
      <c r="F6" s="260"/>
      <c r="G6" s="260"/>
      <c r="H6" s="260"/>
      <c r="I6" s="260"/>
      <c r="J6" s="261"/>
    </row>
    <row r="7" ht="13.5" customHeight="1">
      <c r="A7" s="260"/>
      <c r="B7" s="270" t="s">
        <v>111</v>
      </c>
      <c r="C7" s="271">
        <v>0.02</v>
      </c>
      <c r="D7" s="272" t="s">
        <v>110</v>
      </c>
      <c r="E7" s="260"/>
      <c r="F7" s="260"/>
      <c r="G7" s="260"/>
      <c r="H7" s="260"/>
      <c r="I7" s="260"/>
      <c r="J7" s="261"/>
    </row>
    <row r="8" ht="13.5" customHeight="1">
      <c r="A8" s="260"/>
      <c r="B8" s="273" t="s">
        <v>112</v>
      </c>
      <c r="C8" s="274">
        <f>sum(C5:C7)</f>
        <v>0.05</v>
      </c>
      <c r="D8" s="273">
        <v>24.0</v>
      </c>
      <c r="E8" s="260" t="s">
        <v>113</v>
      </c>
      <c r="F8" s="260"/>
      <c r="G8" s="260"/>
      <c r="H8" s="260"/>
      <c r="I8" s="260"/>
      <c r="J8" s="261"/>
    </row>
    <row r="9" ht="13.5" customHeight="1">
      <c r="A9" s="35"/>
      <c r="B9" s="35"/>
      <c r="C9" s="35"/>
      <c r="D9" s="35"/>
      <c r="E9" s="35"/>
      <c r="F9" s="35"/>
      <c r="G9" s="35"/>
      <c r="H9" s="35"/>
      <c r="I9" s="35"/>
      <c r="J9" s="275"/>
    </row>
    <row r="10" ht="13.5" customHeight="1">
      <c r="A10" s="35"/>
      <c r="B10" s="276" t="s">
        <v>114</v>
      </c>
      <c r="C10" s="277"/>
      <c r="D10" s="277"/>
      <c r="E10" s="277"/>
      <c r="F10" s="277"/>
      <c r="G10" s="277"/>
      <c r="H10" s="277"/>
      <c r="I10" s="278"/>
      <c r="J10" s="279"/>
    </row>
    <row r="11" ht="13.5" customHeight="1">
      <c r="A11" s="122"/>
      <c r="B11" s="280" t="s">
        <v>115</v>
      </c>
      <c r="C11" s="280" t="s">
        <v>116</v>
      </c>
      <c r="D11" s="280" t="s">
        <v>117</v>
      </c>
      <c r="E11" s="281" t="s">
        <v>118</v>
      </c>
      <c r="F11" s="280" t="s">
        <v>119</v>
      </c>
      <c r="G11" s="280" t="s">
        <v>120</v>
      </c>
      <c r="H11" s="282" t="s">
        <v>121</v>
      </c>
      <c r="I11" s="280" t="s">
        <v>120</v>
      </c>
      <c r="J11" s="283"/>
    </row>
    <row r="12" ht="13.5" customHeight="1">
      <c r="A12" s="122"/>
      <c r="B12" s="199"/>
      <c r="C12" s="199"/>
      <c r="D12" s="199"/>
      <c r="E12" s="199"/>
      <c r="F12" s="199"/>
      <c r="G12" s="199"/>
      <c r="H12" s="284"/>
      <c r="I12" s="285">
        <v>2.0</v>
      </c>
      <c r="J12" s="283"/>
    </row>
    <row r="13" ht="13.5" hidden="1" customHeight="1">
      <c r="A13" s="35"/>
      <c r="B13" s="286" t="s">
        <v>122</v>
      </c>
      <c r="C13" s="287" t="s">
        <v>123</v>
      </c>
      <c r="D13" s="288">
        <v>176515.0</v>
      </c>
      <c r="E13" s="288">
        <f>'INBOUND CHECKING'!N39</f>
        <v>36713.06961</v>
      </c>
      <c r="F13" s="288">
        <f t="shared" ref="F13:F19" si="1">8*E13</f>
        <v>293704.5569</v>
      </c>
      <c r="G13" s="288">
        <v>2.0</v>
      </c>
      <c r="H13" s="288">
        <f t="shared" ref="H13:H15" si="2">roundup(D13/F13,0)</f>
        <v>1</v>
      </c>
      <c r="I13" s="289">
        <f t="shared" ref="I13:I16" si="3">H13*$I$12</f>
        <v>2</v>
      </c>
      <c r="J13" s="290"/>
    </row>
    <row r="14" ht="13.5" customHeight="1">
      <c r="A14" s="35"/>
      <c r="B14" s="194"/>
      <c r="C14" s="291" t="s">
        <v>124</v>
      </c>
      <c r="D14" s="292">
        <v>67.0</v>
      </c>
      <c r="E14" s="292">
        <f>E13/2920</f>
        <v>12.57296904</v>
      </c>
      <c r="F14" s="292">
        <f t="shared" si="1"/>
        <v>100.5837523</v>
      </c>
      <c r="G14" s="292">
        <v>2.0</v>
      </c>
      <c r="H14" s="292">
        <f t="shared" si="2"/>
        <v>1</v>
      </c>
      <c r="I14" s="293">
        <f t="shared" si="3"/>
        <v>2</v>
      </c>
      <c r="J14" s="290"/>
    </row>
    <row r="15" ht="13.5" hidden="1" customHeight="1">
      <c r="A15" s="35"/>
      <c r="B15" s="286" t="s">
        <v>125</v>
      </c>
      <c r="C15" s="287" t="s">
        <v>123</v>
      </c>
      <c r="D15" s="288">
        <v>203859.0</v>
      </c>
      <c r="E15" s="288">
        <f>'PUT-AWAY'!N40</f>
        <v>5904.734342</v>
      </c>
      <c r="F15" s="288">
        <f t="shared" si="1"/>
        <v>47237.87473</v>
      </c>
      <c r="G15" s="288">
        <v>1.0</v>
      </c>
      <c r="H15" s="288">
        <f t="shared" si="2"/>
        <v>5</v>
      </c>
      <c r="I15" s="289">
        <f t="shared" si="3"/>
        <v>10</v>
      </c>
      <c r="J15" s="290"/>
    </row>
    <row r="16" ht="13.5" customHeight="1">
      <c r="A16" s="35"/>
      <c r="B16" s="194"/>
      <c r="C16" s="291" t="s">
        <v>124</v>
      </c>
      <c r="D16" s="292">
        <v>103.0</v>
      </c>
      <c r="E16" s="292">
        <f>'PUT-AWAY'!N28</f>
        <v>30.27247752</v>
      </c>
      <c r="F16" s="292">
        <f t="shared" si="1"/>
        <v>242.1798202</v>
      </c>
      <c r="G16" s="292">
        <v>2.0</v>
      </c>
      <c r="H16" s="292">
        <f>ROUNDUP(D16/F16,0)</f>
        <v>1</v>
      </c>
      <c r="I16" s="293">
        <f t="shared" si="3"/>
        <v>2</v>
      </c>
      <c r="J16" s="290"/>
    </row>
    <row r="17" ht="13.5" hidden="1" customHeight="1">
      <c r="A17" s="35"/>
      <c r="B17" s="286" t="s">
        <v>126</v>
      </c>
      <c r="C17" s="287" t="s">
        <v>124</v>
      </c>
      <c r="D17" s="288"/>
      <c r="E17" s="288">
        <f>PICKING!N29</f>
        <v>9.591464875</v>
      </c>
      <c r="F17" s="288">
        <f t="shared" si="1"/>
        <v>76.731719</v>
      </c>
      <c r="G17" s="288">
        <v>4.0</v>
      </c>
      <c r="H17" s="288">
        <f t="shared" ref="H17:H24" si="4">roundup(D17/F17,0)</f>
        <v>0</v>
      </c>
      <c r="I17" s="289">
        <f t="shared" ref="I17:I22" si="5">H17</f>
        <v>0</v>
      </c>
      <c r="J17" s="290"/>
    </row>
    <row r="18" ht="13.5" customHeight="1">
      <c r="A18" s="35"/>
      <c r="B18" s="194"/>
      <c r="C18" s="291" t="s">
        <v>127</v>
      </c>
      <c r="D18" s="292">
        <v>23.63</v>
      </c>
      <c r="E18" s="292">
        <f>PICKING!N35</f>
        <v>7.079180894</v>
      </c>
      <c r="F18" s="292">
        <f t="shared" si="1"/>
        <v>56.63344715</v>
      </c>
      <c r="G18" s="292">
        <v>4.0</v>
      </c>
      <c r="H18" s="292">
        <f t="shared" si="4"/>
        <v>1</v>
      </c>
      <c r="I18" s="293">
        <f t="shared" si="5"/>
        <v>1</v>
      </c>
      <c r="J18" s="290"/>
    </row>
    <row r="19" ht="13.5" customHeight="1">
      <c r="A19" s="35"/>
      <c r="B19" s="194"/>
      <c r="C19" s="291" t="s">
        <v>123</v>
      </c>
      <c r="D19" s="292">
        <v>103994.0</v>
      </c>
      <c r="E19" s="292">
        <f>PICKING!N41</f>
        <v>629.2959978</v>
      </c>
      <c r="F19" s="292">
        <f t="shared" si="1"/>
        <v>5034.367983</v>
      </c>
      <c r="G19" s="292">
        <v>4.0</v>
      </c>
      <c r="H19" s="292">
        <f t="shared" si="4"/>
        <v>21</v>
      </c>
      <c r="I19" s="293">
        <f t="shared" si="5"/>
        <v>21</v>
      </c>
      <c r="J19" s="290"/>
    </row>
    <row r="20" ht="13.5" hidden="1" customHeight="1">
      <c r="A20" s="35"/>
      <c r="B20" s="286" t="s">
        <v>128</v>
      </c>
      <c r="C20" s="287" t="s">
        <v>124</v>
      </c>
      <c r="D20" s="288"/>
      <c r="E20" s="288">
        <f>PICKING!N70</f>
        <v>1.462684886</v>
      </c>
      <c r="F20" s="288">
        <f t="shared" ref="F20:F22" si="6">E20*8</f>
        <v>11.70147909</v>
      </c>
      <c r="G20" s="288">
        <v>4.0</v>
      </c>
      <c r="H20" s="288">
        <f t="shared" si="4"/>
        <v>0</v>
      </c>
      <c r="I20" s="289">
        <f t="shared" si="5"/>
        <v>0</v>
      </c>
      <c r="J20" s="290"/>
    </row>
    <row r="21" ht="13.5" customHeight="1">
      <c r="A21" s="35"/>
      <c r="B21" s="194"/>
      <c r="C21" s="291" t="s">
        <v>129</v>
      </c>
      <c r="D21" s="292">
        <v>55.0</v>
      </c>
      <c r="E21" s="292">
        <f>PICKING!N76</f>
        <v>3.486273218</v>
      </c>
      <c r="F21" s="292">
        <f t="shared" si="6"/>
        <v>27.89018574</v>
      </c>
      <c r="G21" s="292">
        <v>4.0</v>
      </c>
      <c r="H21" s="292">
        <f t="shared" si="4"/>
        <v>2</v>
      </c>
      <c r="I21" s="293">
        <f t="shared" si="5"/>
        <v>2</v>
      </c>
      <c r="J21" s="290"/>
    </row>
    <row r="22" ht="13.5" customHeight="1">
      <c r="A22" s="35"/>
      <c r="B22" s="194"/>
      <c r="C22" s="291" t="s">
        <v>123</v>
      </c>
      <c r="D22" s="292">
        <v>103994.0</v>
      </c>
      <c r="E22" s="292">
        <f>PICKING!N82</f>
        <v>1041.445253</v>
      </c>
      <c r="F22" s="292">
        <f t="shared" si="6"/>
        <v>8331.562023</v>
      </c>
      <c r="G22" s="292">
        <v>4.0</v>
      </c>
      <c r="H22" s="292">
        <f t="shared" si="4"/>
        <v>13</v>
      </c>
      <c r="I22" s="293">
        <f t="shared" si="5"/>
        <v>13</v>
      </c>
      <c r="J22" s="290"/>
    </row>
    <row r="23" ht="13.5" customHeight="1">
      <c r="A23" s="35"/>
      <c r="B23" s="286" t="s">
        <v>130</v>
      </c>
      <c r="C23" s="291" t="s">
        <v>124</v>
      </c>
      <c r="D23" s="292">
        <v>122.0</v>
      </c>
      <c r="E23" s="292">
        <f>'OUTBOUND CHECKING'!N27</f>
        <v>11.63148264</v>
      </c>
      <c r="F23" s="292">
        <f t="shared" ref="F23:F24" si="7">8*E23</f>
        <v>93.05186115</v>
      </c>
      <c r="G23" s="292">
        <v>2.0</v>
      </c>
      <c r="H23" s="292">
        <f t="shared" si="4"/>
        <v>2</v>
      </c>
      <c r="I23" s="292">
        <f t="shared" ref="I23:I24" si="8">H23*$I$12</f>
        <v>4</v>
      </c>
      <c r="J23" s="290"/>
    </row>
    <row r="24" ht="13.5" hidden="1" customHeight="1">
      <c r="A24" s="35"/>
      <c r="B24" s="199"/>
      <c r="C24" s="287" t="s">
        <v>123</v>
      </c>
      <c r="D24" s="288">
        <v>103994.0</v>
      </c>
      <c r="E24" s="288">
        <f>'OUTBOUND CHECKING'!N39</f>
        <v>1349.788072</v>
      </c>
      <c r="F24" s="288">
        <f t="shared" si="7"/>
        <v>10798.30458</v>
      </c>
      <c r="G24" s="288">
        <v>2.0</v>
      </c>
      <c r="H24" s="288">
        <f t="shared" si="4"/>
        <v>10</v>
      </c>
      <c r="I24" s="288">
        <f t="shared" si="8"/>
        <v>20</v>
      </c>
      <c r="J24" s="290"/>
    </row>
    <row r="25" ht="13.5" customHeight="1">
      <c r="A25" s="35"/>
      <c r="B25" s="35"/>
      <c r="C25" s="35"/>
      <c r="D25" s="35"/>
      <c r="E25" s="35"/>
      <c r="F25" s="35"/>
      <c r="G25" s="35"/>
      <c r="H25" s="35"/>
      <c r="I25" s="35"/>
      <c r="J25" s="275"/>
    </row>
    <row r="26" ht="13.5" hidden="1" customHeight="1">
      <c r="A26" s="35"/>
      <c r="B26" s="294" t="s">
        <v>131</v>
      </c>
      <c r="C26" s="295" t="s">
        <v>132</v>
      </c>
      <c r="D26" s="35"/>
      <c r="E26" s="35"/>
      <c r="F26" s="35"/>
      <c r="G26" s="35"/>
      <c r="H26" s="35"/>
      <c r="I26" s="35"/>
      <c r="J26" s="275"/>
    </row>
    <row r="27" ht="13.5" hidden="1" customHeight="1">
      <c r="A27" s="35"/>
      <c r="B27" s="194"/>
      <c r="C27" s="295" t="s">
        <v>133</v>
      </c>
      <c r="D27" s="35"/>
      <c r="E27" s="35"/>
      <c r="F27" s="35"/>
      <c r="G27" s="35"/>
      <c r="H27" s="35"/>
      <c r="I27" s="35"/>
      <c r="J27" s="275"/>
    </row>
    <row r="28" ht="13.5" hidden="1" customHeight="1">
      <c r="A28" s="35"/>
      <c r="B28" s="194"/>
      <c r="C28" s="295" t="s">
        <v>134</v>
      </c>
      <c r="D28" s="35"/>
      <c r="E28" s="35"/>
      <c r="F28" s="35"/>
      <c r="G28" s="35"/>
      <c r="H28" s="35"/>
      <c r="I28" s="35"/>
      <c r="J28" s="275"/>
    </row>
    <row r="29" ht="13.5" hidden="1" customHeight="1">
      <c r="A29" s="35"/>
      <c r="B29" s="194"/>
      <c r="C29" s="295" t="s">
        <v>135</v>
      </c>
      <c r="D29" s="35"/>
      <c r="E29" s="35"/>
      <c r="F29" s="35"/>
      <c r="G29" s="35"/>
      <c r="H29" s="35"/>
      <c r="I29" s="35"/>
      <c r="J29" s="275"/>
    </row>
    <row r="30" ht="13.5" hidden="1" customHeight="1">
      <c r="A30" s="35"/>
      <c r="B30" s="199"/>
      <c r="C30" s="295" t="s">
        <v>136</v>
      </c>
      <c r="D30" s="35"/>
      <c r="E30" s="35"/>
      <c r="F30" s="35"/>
      <c r="G30" s="35"/>
      <c r="H30" s="35"/>
      <c r="I30" s="35"/>
      <c r="J30" s="275"/>
    </row>
    <row r="31" ht="15.75" hidden="1" customHeight="1">
      <c r="J31" s="29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G11:G12"/>
    <mergeCell ref="H11:H12"/>
    <mergeCell ref="B13:B14"/>
    <mergeCell ref="B15:B16"/>
    <mergeCell ref="B17:B19"/>
    <mergeCell ref="B20:B22"/>
    <mergeCell ref="B23:B24"/>
    <mergeCell ref="B26:B30"/>
    <mergeCell ref="B2:D3"/>
    <mergeCell ref="B10:I10"/>
    <mergeCell ref="B11:B12"/>
    <mergeCell ref="C11:C12"/>
    <mergeCell ref="D11:D12"/>
    <mergeCell ref="E11:E12"/>
    <mergeCell ref="F11:F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1.43"/>
    <col customWidth="1" min="2" max="2" width="19.57"/>
    <col customWidth="1" min="3" max="3" width="14.43"/>
    <col customWidth="1" min="4" max="4" width="1.29"/>
    <col customWidth="1" min="5" max="6" width="14.43"/>
  </cols>
  <sheetData>
    <row r="1" ht="3.0" customHeight="1">
      <c r="A1" s="297" t="s">
        <v>137</v>
      </c>
      <c r="B1" s="297"/>
      <c r="C1" s="297"/>
      <c r="D1" s="297"/>
    </row>
    <row r="2">
      <c r="A2" s="297"/>
      <c r="B2" s="298" t="s">
        <v>138</v>
      </c>
      <c r="C2" s="299"/>
      <c r="D2" s="297"/>
    </row>
    <row r="3">
      <c r="A3" s="297"/>
      <c r="B3" s="300" t="s">
        <v>139</v>
      </c>
      <c r="C3" s="301" t="s">
        <v>140</v>
      </c>
      <c r="D3" s="297"/>
    </row>
    <row r="4">
      <c r="A4" s="297"/>
      <c r="B4" s="302" t="s">
        <v>141</v>
      </c>
      <c r="C4" s="303" t="s">
        <v>142</v>
      </c>
      <c r="D4" s="297"/>
    </row>
    <row r="5">
      <c r="A5" s="297"/>
      <c r="B5" s="302" t="s">
        <v>143</v>
      </c>
      <c r="C5" s="303" t="s">
        <v>144</v>
      </c>
      <c r="D5" s="297"/>
    </row>
    <row r="6">
      <c r="A6" s="297"/>
      <c r="B6" s="304" t="s">
        <v>145</v>
      </c>
      <c r="C6" s="305">
        <v>7.0</v>
      </c>
      <c r="D6" s="297"/>
    </row>
    <row r="7">
      <c r="A7" s="297"/>
      <c r="B7" s="297"/>
      <c r="C7" s="297"/>
      <c r="D7" s="297"/>
    </row>
    <row r="8">
      <c r="A8" s="297"/>
      <c r="B8" s="298" t="s">
        <v>146</v>
      </c>
      <c r="C8" s="299"/>
      <c r="D8" s="297"/>
    </row>
    <row r="9">
      <c r="A9" s="297"/>
      <c r="B9" s="306" t="s">
        <v>147</v>
      </c>
      <c r="C9" s="307"/>
      <c r="D9" s="297"/>
    </row>
    <row r="10">
      <c r="A10" s="297"/>
      <c r="B10" s="297"/>
      <c r="C10" s="297"/>
      <c r="D10" s="297"/>
    </row>
    <row r="11">
      <c r="A11" s="297"/>
      <c r="B11" s="298" t="s">
        <v>148</v>
      </c>
      <c r="C11" s="299"/>
      <c r="D11" s="297"/>
    </row>
    <row r="12">
      <c r="A12" s="297"/>
      <c r="B12" s="308" t="s">
        <v>149</v>
      </c>
      <c r="C12" s="299"/>
      <c r="D12" s="297"/>
    </row>
    <row r="13">
      <c r="A13" s="297"/>
      <c r="B13" s="309"/>
      <c r="C13" s="309"/>
      <c r="D13" s="297"/>
    </row>
    <row r="14">
      <c r="A14" s="297"/>
      <c r="B14" s="298" t="s">
        <v>150</v>
      </c>
      <c r="C14" s="299"/>
      <c r="D14" s="297"/>
    </row>
    <row r="15">
      <c r="A15" s="297"/>
      <c r="B15" s="308" t="s">
        <v>151</v>
      </c>
      <c r="C15" s="299"/>
      <c r="D15" s="297"/>
    </row>
    <row r="16">
      <c r="A16" s="297"/>
      <c r="B16" s="297"/>
      <c r="C16" s="297"/>
      <c r="D16" s="29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2"/>
    <mergeCell ref="B8:C8"/>
    <mergeCell ref="B9:C9"/>
    <mergeCell ref="B11:C11"/>
    <mergeCell ref="B12:C12"/>
    <mergeCell ref="B14:C14"/>
    <mergeCell ref="B15:C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13" width="9.86"/>
    <col customWidth="1" min="14" max="14" width="19.86"/>
    <col customWidth="1" min="15" max="15" width="8.71"/>
    <col customWidth="1" min="16" max="16" width="7.0"/>
    <col customWidth="1" min="17" max="17" width="5.0"/>
    <col customWidth="1" min="18" max="18" width="13.0"/>
    <col customWidth="1" min="19" max="19" width="9.86"/>
    <col customWidth="1" min="20" max="20" width="11.86"/>
    <col customWidth="1" min="21" max="21"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row>
    <row r="2" ht="13.5" customHeight="1">
      <c r="A2" s="35"/>
      <c r="B2" s="310" t="s">
        <v>152</v>
      </c>
      <c r="O2" s="35"/>
      <c r="P2" s="35"/>
      <c r="Q2" s="35"/>
      <c r="R2" s="35"/>
      <c r="S2" s="35"/>
      <c r="T2" s="35"/>
      <c r="U2" s="35"/>
    </row>
    <row r="3" ht="13.5" customHeight="1">
      <c r="A3" s="35"/>
      <c r="B3" s="311" t="s">
        <v>153</v>
      </c>
      <c r="C3" s="277"/>
      <c r="D3" s="278"/>
      <c r="E3" s="311" t="s">
        <v>154</v>
      </c>
      <c r="F3" s="277"/>
      <c r="G3" s="278"/>
      <c r="H3" s="311" t="s">
        <v>155</v>
      </c>
      <c r="I3" s="277"/>
      <c r="J3" s="278"/>
      <c r="K3" s="311" t="s">
        <v>156</v>
      </c>
      <c r="L3" s="277"/>
      <c r="M3" s="277"/>
      <c r="N3" s="278"/>
      <c r="O3" s="35"/>
      <c r="P3" s="35"/>
      <c r="Q3" s="35"/>
      <c r="R3" s="35"/>
      <c r="S3" s="35"/>
      <c r="T3" s="35"/>
      <c r="U3" s="35"/>
    </row>
    <row r="4" ht="13.5" customHeight="1">
      <c r="A4" s="35"/>
      <c r="B4" s="312" t="s">
        <v>157</v>
      </c>
      <c r="C4" s="263"/>
      <c r="D4" s="264"/>
      <c r="E4" s="313" t="s">
        <v>158</v>
      </c>
      <c r="F4" s="263"/>
      <c r="G4" s="264"/>
      <c r="H4" s="314"/>
      <c r="I4" s="263"/>
      <c r="J4" s="264"/>
      <c r="K4" s="315"/>
      <c r="L4" s="263"/>
      <c r="M4" s="263"/>
      <c r="N4" s="264"/>
      <c r="O4" s="35"/>
      <c r="P4" s="35"/>
      <c r="Q4" s="35"/>
      <c r="R4" s="35"/>
      <c r="S4" s="35"/>
      <c r="T4" s="35"/>
      <c r="U4" s="35"/>
    </row>
    <row r="5" ht="13.5" customHeight="1">
      <c r="A5" s="35"/>
      <c r="B5" s="284"/>
      <c r="C5" s="316"/>
      <c r="D5" s="317"/>
      <c r="E5" s="284"/>
      <c r="F5" s="316"/>
      <c r="G5" s="317"/>
      <c r="H5" s="284"/>
      <c r="I5" s="316"/>
      <c r="J5" s="317"/>
      <c r="K5" s="284"/>
      <c r="L5" s="316"/>
      <c r="M5" s="316"/>
      <c r="N5" s="317"/>
      <c r="O5" s="35"/>
      <c r="P5" s="35"/>
      <c r="Q5" s="35"/>
      <c r="R5" s="35"/>
      <c r="S5" s="35"/>
      <c r="T5" s="35"/>
      <c r="U5" s="35"/>
    </row>
    <row r="6" ht="13.5" customHeight="1">
      <c r="A6" s="35"/>
      <c r="B6" s="158"/>
      <c r="C6" s="158"/>
      <c r="D6" s="158"/>
      <c r="E6" s="158"/>
      <c r="F6" s="158"/>
      <c r="G6" s="158"/>
      <c r="H6" s="158"/>
      <c r="I6" s="158"/>
      <c r="J6" s="158"/>
      <c r="K6" s="158"/>
      <c r="L6" s="158"/>
      <c r="M6" s="158"/>
      <c r="N6" s="158"/>
      <c r="O6" s="35"/>
      <c r="P6" s="35"/>
      <c r="Q6" s="35"/>
      <c r="R6" s="35"/>
      <c r="S6" s="35"/>
      <c r="T6" s="35"/>
      <c r="U6" s="35"/>
    </row>
    <row r="7" ht="13.5" customHeight="1">
      <c r="A7" s="35"/>
      <c r="B7" s="318" t="s">
        <v>159</v>
      </c>
      <c r="C7" s="319" t="s">
        <v>160</v>
      </c>
      <c r="D7" s="320" t="s">
        <v>161</v>
      </c>
      <c r="E7" s="277"/>
      <c r="F7" s="277"/>
      <c r="G7" s="277"/>
      <c r="H7" s="277"/>
      <c r="I7" s="277"/>
      <c r="J7" s="277"/>
      <c r="K7" s="277"/>
      <c r="L7" s="277"/>
      <c r="M7" s="278"/>
      <c r="N7" s="321" t="s">
        <v>162</v>
      </c>
      <c r="O7" s="158"/>
      <c r="P7" s="322" t="s">
        <v>163</v>
      </c>
      <c r="Q7" s="322" t="s">
        <v>164</v>
      </c>
      <c r="R7" s="323" t="s">
        <v>165</v>
      </c>
      <c r="S7" s="323" t="s">
        <v>166</v>
      </c>
      <c r="T7" s="323" t="s">
        <v>167</v>
      </c>
      <c r="U7" s="35"/>
    </row>
    <row r="8" ht="13.5" customHeight="1">
      <c r="A8" s="35"/>
      <c r="B8" s="199"/>
      <c r="C8" s="199"/>
      <c r="D8" s="324" t="s">
        <v>168</v>
      </c>
      <c r="E8" s="324" t="s">
        <v>169</v>
      </c>
      <c r="F8" s="324" t="s">
        <v>170</v>
      </c>
      <c r="G8" s="324" t="s">
        <v>171</v>
      </c>
      <c r="H8" s="324" t="s">
        <v>172</v>
      </c>
      <c r="I8" s="324" t="s">
        <v>173</v>
      </c>
      <c r="J8" s="324" t="s">
        <v>174</v>
      </c>
      <c r="K8" s="324" t="s">
        <v>175</v>
      </c>
      <c r="L8" s="324" t="s">
        <v>176</v>
      </c>
      <c r="M8" s="324" t="s">
        <v>177</v>
      </c>
      <c r="N8" s="324" t="s">
        <v>178</v>
      </c>
      <c r="O8" s="158"/>
      <c r="P8" s="199"/>
      <c r="Q8" s="199"/>
      <c r="R8" s="199"/>
      <c r="S8" s="199"/>
      <c r="T8" s="199"/>
      <c r="U8" s="35"/>
    </row>
    <row r="9" ht="13.5" customHeight="1">
      <c r="A9" s="158"/>
      <c r="B9" s="325">
        <v>1.0</v>
      </c>
      <c r="C9" s="326" t="s">
        <v>179</v>
      </c>
      <c r="D9" s="327">
        <v>275.73</v>
      </c>
      <c r="E9" s="328">
        <v>183.55</v>
      </c>
      <c r="F9" s="329">
        <v>220.1</v>
      </c>
      <c r="G9" s="329">
        <v>253.19</v>
      </c>
      <c r="H9" s="329">
        <v>176.19</v>
      </c>
      <c r="I9" s="329">
        <v>179.18</v>
      </c>
      <c r="J9" s="329">
        <v>174.91</v>
      </c>
      <c r="K9" s="329">
        <v>165.75</v>
      </c>
      <c r="L9" s="329">
        <v>263.31</v>
      </c>
      <c r="M9" s="329">
        <v>156.34</v>
      </c>
      <c r="N9" s="330">
        <f t="shared" ref="N9:N10" si="2">SUM(D9:M9)</f>
        <v>2048.25</v>
      </c>
      <c r="O9" s="158"/>
      <c r="P9" s="328">
        <f>Iferror(AVERAGE(D9:M9),0)</f>
        <v>204.825</v>
      </c>
      <c r="Q9" s="331">
        <f>MAX(D9:M9)</f>
        <v>275.73</v>
      </c>
      <c r="R9" s="332">
        <f>Iferror(P9/$P$10,0)</f>
        <v>1</v>
      </c>
      <c r="S9" s="333"/>
      <c r="T9" s="333"/>
      <c r="U9" s="158"/>
    </row>
    <row r="10" ht="13.5" customHeight="1">
      <c r="A10" s="35"/>
      <c r="B10" s="334"/>
      <c r="C10" s="335" t="s">
        <v>180</v>
      </c>
      <c r="D10" s="336">
        <f t="shared" ref="D10:M10" si="1">sum(D9)</f>
        <v>275.73</v>
      </c>
      <c r="E10" s="336">
        <f t="shared" si="1"/>
        <v>183.55</v>
      </c>
      <c r="F10" s="336">
        <f t="shared" si="1"/>
        <v>220.1</v>
      </c>
      <c r="G10" s="336">
        <f t="shared" si="1"/>
        <v>253.19</v>
      </c>
      <c r="H10" s="336">
        <f t="shared" si="1"/>
        <v>176.19</v>
      </c>
      <c r="I10" s="336">
        <f t="shared" si="1"/>
        <v>179.18</v>
      </c>
      <c r="J10" s="336">
        <f t="shared" si="1"/>
        <v>174.91</v>
      </c>
      <c r="K10" s="336">
        <f t="shared" si="1"/>
        <v>165.75</v>
      </c>
      <c r="L10" s="336">
        <f t="shared" si="1"/>
        <v>263.31</v>
      </c>
      <c r="M10" s="336">
        <f t="shared" si="1"/>
        <v>156.34</v>
      </c>
      <c r="N10" s="337">
        <f t="shared" si="2"/>
        <v>2048.25</v>
      </c>
      <c r="O10" s="338" t="s">
        <v>10</v>
      </c>
      <c r="P10" s="339">
        <f t="shared" ref="P10:R10" si="3">SUM(P9)</f>
        <v>204.825</v>
      </c>
      <c r="Q10" s="340">
        <f t="shared" si="3"/>
        <v>275.73</v>
      </c>
      <c r="R10" s="341">
        <f t="shared" si="3"/>
        <v>1</v>
      </c>
      <c r="S10" s="35"/>
      <c r="T10" s="35"/>
      <c r="U10" s="35"/>
    </row>
    <row r="11" ht="13.5" customHeight="1">
      <c r="A11" s="35"/>
      <c r="B11" s="35"/>
      <c r="C11" s="335" t="s">
        <v>181</v>
      </c>
      <c r="D11" s="342">
        <f t="shared" ref="D11:N11" si="4">D10/60</f>
        <v>4.5955</v>
      </c>
      <c r="E11" s="342">
        <f t="shared" si="4"/>
        <v>3.059166667</v>
      </c>
      <c r="F11" s="342">
        <f t="shared" si="4"/>
        <v>3.668333333</v>
      </c>
      <c r="G11" s="342">
        <f t="shared" si="4"/>
        <v>4.219833333</v>
      </c>
      <c r="H11" s="342">
        <f t="shared" si="4"/>
        <v>2.9365</v>
      </c>
      <c r="I11" s="342">
        <f t="shared" si="4"/>
        <v>2.986333333</v>
      </c>
      <c r="J11" s="342">
        <f t="shared" si="4"/>
        <v>2.915166667</v>
      </c>
      <c r="K11" s="342">
        <f t="shared" si="4"/>
        <v>2.7625</v>
      </c>
      <c r="L11" s="342">
        <f t="shared" si="4"/>
        <v>4.3885</v>
      </c>
      <c r="M11" s="342">
        <f t="shared" si="4"/>
        <v>2.605666667</v>
      </c>
      <c r="N11" s="343">
        <f t="shared" si="4"/>
        <v>34.1375</v>
      </c>
      <c r="O11" s="158"/>
      <c r="P11" s="344"/>
      <c r="Q11" s="344"/>
      <c r="R11" s="158"/>
      <c r="S11" s="35"/>
      <c r="T11" s="35"/>
      <c r="U11" s="35"/>
    </row>
    <row r="12" ht="13.5" customHeight="1">
      <c r="A12" s="35"/>
      <c r="B12" s="35"/>
      <c r="C12" s="158"/>
      <c r="D12" s="344"/>
      <c r="E12" s="344"/>
      <c r="F12" s="345"/>
      <c r="G12" s="345"/>
      <c r="H12" s="345"/>
      <c r="I12" s="344"/>
      <c r="J12" s="344"/>
      <c r="K12" s="344"/>
      <c r="L12" s="344"/>
      <c r="M12" s="344"/>
      <c r="N12" s="346" t="s">
        <v>182</v>
      </c>
      <c r="O12" s="158"/>
      <c r="P12" s="344"/>
      <c r="Q12" s="344"/>
      <c r="R12" s="158"/>
      <c r="S12" s="35"/>
      <c r="T12" s="35"/>
      <c r="U12" s="35"/>
    </row>
    <row r="13" ht="13.5" customHeight="1">
      <c r="A13" s="35"/>
      <c r="B13" s="35"/>
      <c r="C13" s="347" t="s">
        <v>183</v>
      </c>
      <c r="D13" s="348">
        <v>1.0</v>
      </c>
      <c r="E13" s="348">
        <v>1.0</v>
      </c>
      <c r="F13" s="349">
        <v>1.0</v>
      </c>
      <c r="G13" s="349">
        <v>1.0</v>
      </c>
      <c r="H13" s="349">
        <v>1.0</v>
      </c>
      <c r="I13" s="350">
        <v>1.0</v>
      </c>
      <c r="J13" s="350">
        <v>1.0</v>
      </c>
      <c r="K13" s="350">
        <v>1.0</v>
      </c>
      <c r="L13" s="350">
        <v>1.0</v>
      </c>
      <c r="M13" s="350">
        <v>1.0</v>
      </c>
      <c r="N13" s="158"/>
      <c r="O13" s="158"/>
      <c r="P13" s="158"/>
      <c r="Q13" s="232"/>
      <c r="R13" s="35"/>
      <c r="S13" s="35"/>
      <c r="T13" s="35"/>
      <c r="U13" s="35"/>
    </row>
    <row r="14" ht="13.5" hidden="1" customHeight="1">
      <c r="A14" s="35"/>
      <c r="B14" s="35"/>
      <c r="C14" s="347" t="s">
        <v>184</v>
      </c>
      <c r="D14" s="348"/>
      <c r="E14" s="348"/>
      <c r="F14" s="349"/>
      <c r="G14" s="349"/>
      <c r="H14" s="349"/>
      <c r="I14" s="350"/>
      <c r="J14" s="350"/>
      <c r="K14" s="350"/>
      <c r="L14" s="350"/>
      <c r="M14" s="350"/>
      <c r="N14" s="158"/>
      <c r="O14" s="158"/>
      <c r="P14" s="158"/>
      <c r="Q14" s="232"/>
      <c r="R14" s="35"/>
      <c r="S14" s="35"/>
      <c r="T14" s="35"/>
      <c r="U14" s="35"/>
    </row>
    <row r="15" ht="13.5" customHeight="1">
      <c r="A15" s="35"/>
      <c r="B15" s="35"/>
      <c r="C15" s="347" t="s">
        <v>185</v>
      </c>
      <c r="D15" s="348">
        <v>5750.0</v>
      </c>
      <c r="E15" s="348">
        <v>2700.0</v>
      </c>
      <c r="F15" s="349">
        <v>3400.0</v>
      </c>
      <c r="G15" s="349">
        <v>8000.0</v>
      </c>
      <c r="H15" s="349">
        <v>1850.0</v>
      </c>
      <c r="I15" s="350">
        <v>1500.0</v>
      </c>
      <c r="J15" s="350">
        <v>1500.0</v>
      </c>
      <c r="K15" s="350">
        <v>1500.0</v>
      </c>
      <c r="L15" s="350">
        <v>1500.0</v>
      </c>
      <c r="M15" s="350">
        <v>1500.0</v>
      </c>
      <c r="N15" s="351">
        <f>SUM(D15:M15)</f>
        <v>29200</v>
      </c>
      <c r="O15" s="158">
        <f>N15/10</f>
        <v>2920</v>
      </c>
      <c r="P15" s="158"/>
      <c r="Q15" s="232"/>
      <c r="R15" s="35"/>
      <c r="S15" s="35"/>
      <c r="T15" s="35"/>
      <c r="U15" s="35"/>
    </row>
    <row r="16" ht="13.5" customHeight="1">
      <c r="A16" s="35"/>
      <c r="B16" s="35"/>
      <c r="C16" s="352" t="s">
        <v>186</v>
      </c>
      <c r="D16" s="353">
        <v>3.0</v>
      </c>
      <c r="E16" s="353">
        <v>1.0</v>
      </c>
      <c r="F16" s="353">
        <v>2.0</v>
      </c>
      <c r="G16" s="353">
        <v>3.0</v>
      </c>
      <c r="H16" s="353">
        <v>2.0</v>
      </c>
      <c r="I16" s="353">
        <v>2.0</v>
      </c>
      <c r="J16" s="353">
        <v>1.0</v>
      </c>
      <c r="K16" s="353">
        <v>1.0</v>
      </c>
      <c r="L16" s="353">
        <v>1.0</v>
      </c>
      <c r="M16" s="353">
        <v>1.0</v>
      </c>
      <c r="N16" s="158"/>
      <c r="O16" s="158"/>
      <c r="P16" s="158"/>
      <c r="Q16" s="232"/>
      <c r="R16" s="35"/>
      <c r="S16" s="35"/>
      <c r="T16" s="35"/>
      <c r="U16" s="35"/>
    </row>
    <row r="17" ht="13.5" customHeight="1">
      <c r="A17" s="35"/>
      <c r="B17" s="35"/>
      <c r="C17" s="347" t="s">
        <v>187</v>
      </c>
      <c r="D17" s="353" t="s">
        <v>188</v>
      </c>
      <c r="E17" s="353" t="s">
        <v>188</v>
      </c>
      <c r="F17" s="353" t="s">
        <v>188</v>
      </c>
      <c r="G17" s="353" t="s">
        <v>188</v>
      </c>
      <c r="H17" s="353" t="s">
        <v>188</v>
      </c>
      <c r="I17" s="353" t="s">
        <v>188</v>
      </c>
      <c r="J17" s="353" t="s">
        <v>188</v>
      </c>
      <c r="K17" s="353" t="s">
        <v>188</v>
      </c>
      <c r="L17" s="353" t="s">
        <v>188</v>
      </c>
      <c r="M17" s="353" t="s">
        <v>188</v>
      </c>
      <c r="N17" s="158"/>
      <c r="O17" s="158"/>
      <c r="P17" s="158"/>
      <c r="Q17" s="232"/>
      <c r="R17" s="35"/>
      <c r="S17" s="35"/>
      <c r="T17" s="35"/>
      <c r="U17" s="35"/>
    </row>
    <row r="18" ht="13.5" customHeight="1">
      <c r="A18" s="35"/>
      <c r="B18" s="35"/>
      <c r="C18" s="347" t="s">
        <v>189</v>
      </c>
      <c r="D18" s="354">
        <v>1.0</v>
      </c>
      <c r="E18" s="354">
        <v>1.0</v>
      </c>
      <c r="F18" s="354">
        <v>1.0</v>
      </c>
      <c r="G18" s="354">
        <v>1.0</v>
      </c>
      <c r="H18" s="354">
        <v>1.0</v>
      </c>
      <c r="I18" s="354">
        <v>1.0</v>
      </c>
      <c r="J18" s="354">
        <v>1.0</v>
      </c>
      <c r="K18" s="354">
        <v>1.0</v>
      </c>
      <c r="L18" s="354">
        <v>1.0</v>
      </c>
      <c r="M18" s="354">
        <v>1.0</v>
      </c>
      <c r="N18" s="158"/>
      <c r="O18" s="158"/>
      <c r="P18" s="158"/>
      <c r="Q18" s="232"/>
      <c r="R18" s="35"/>
      <c r="S18" s="35"/>
      <c r="T18" s="35"/>
      <c r="U18" s="35"/>
    </row>
    <row r="19" ht="13.5" customHeight="1">
      <c r="A19" s="35"/>
      <c r="B19" s="35"/>
      <c r="C19" s="347" t="s">
        <v>190</v>
      </c>
      <c r="D19" s="355">
        <v>45297.0</v>
      </c>
      <c r="E19" s="355">
        <v>45297.0</v>
      </c>
      <c r="F19" s="355">
        <v>45297.0</v>
      </c>
      <c r="G19" s="355">
        <v>45297.0</v>
      </c>
      <c r="H19" s="355">
        <v>45297.0</v>
      </c>
      <c r="I19" s="355">
        <v>45297.0</v>
      </c>
      <c r="J19" s="355">
        <v>45297.0</v>
      </c>
      <c r="K19" s="355">
        <v>45297.0</v>
      </c>
      <c r="L19" s="355">
        <v>45297.0</v>
      </c>
      <c r="M19" s="355">
        <v>45297.0</v>
      </c>
      <c r="N19" s="158"/>
      <c r="O19" s="158"/>
      <c r="P19" s="158"/>
      <c r="Q19" s="232"/>
      <c r="R19" s="35"/>
      <c r="S19" s="35"/>
      <c r="T19" s="35"/>
      <c r="U19" s="35"/>
    </row>
    <row r="20" ht="13.5" customHeight="1">
      <c r="A20" s="35"/>
      <c r="B20" s="35"/>
      <c r="C20" s="35"/>
      <c r="D20" s="35"/>
      <c r="E20" s="35"/>
      <c r="F20" s="275"/>
      <c r="G20" s="275"/>
      <c r="H20" s="275"/>
      <c r="I20" s="35"/>
      <c r="J20" s="35"/>
      <c r="K20" s="35"/>
      <c r="L20" s="35"/>
      <c r="M20" s="35"/>
      <c r="N20" s="35"/>
      <c r="O20" s="35"/>
      <c r="Q20" s="35"/>
      <c r="R20" s="35"/>
      <c r="S20" s="35"/>
      <c r="T20" s="35"/>
      <c r="U20" s="35"/>
    </row>
    <row r="21" ht="13.5" customHeight="1">
      <c r="A21" s="35"/>
      <c r="B21" s="35"/>
      <c r="C21" s="35"/>
      <c r="D21" s="35"/>
      <c r="E21" s="35"/>
      <c r="F21" s="275"/>
      <c r="G21" s="275"/>
      <c r="H21" s="275"/>
      <c r="I21" s="35"/>
      <c r="J21" s="35"/>
      <c r="K21" s="35"/>
      <c r="L21" s="35"/>
      <c r="M21" s="35"/>
      <c r="N21" s="35"/>
      <c r="O21" s="35"/>
      <c r="P21" s="35"/>
      <c r="Q21" s="35"/>
      <c r="R21" s="35"/>
      <c r="S21" s="35"/>
      <c r="T21" s="35"/>
      <c r="U21" s="35"/>
    </row>
    <row r="22" ht="13.5" customHeight="1">
      <c r="A22" s="35"/>
      <c r="B22" s="35"/>
      <c r="C22" s="356" t="s">
        <v>191</v>
      </c>
      <c r="D22" s="357"/>
      <c r="E22" s="357"/>
      <c r="F22" s="358"/>
      <c r="G22" s="358"/>
      <c r="H22" s="358"/>
      <c r="I22" s="357"/>
      <c r="J22" s="357"/>
      <c r="K22" s="357"/>
      <c r="L22" s="357"/>
      <c r="M22" s="357"/>
      <c r="N22" s="359" t="s">
        <v>163</v>
      </c>
      <c r="O22" s="35"/>
      <c r="P22" s="35"/>
      <c r="Q22" s="35"/>
      <c r="R22" s="35"/>
      <c r="S22" s="35"/>
      <c r="T22" s="35"/>
      <c r="U22" s="35"/>
    </row>
    <row r="23" ht="13.5" customHeight="1">
      <c r="A23" s="35"/>
      <c r="B23" s="35"/>
      <c r="C23" s="360" t="s">
        <v>192</v>
      </c>
      <c r="D23" s="361">
        <v>1.0</v>
      </c>
      <c r="E23" s="361">
        <v>1.0</v>
      </c>
      <c r="F23" s="362">
        <v>1.0</v>
      </c>
      <c r="G23" s="362">
        <v>1.0</v>
      </c>
      <c r="H23" s="362">
        <v>1.0</v>
      </c>
      <c r="I23" s="362">
        <v>1.0</v>
      </c>
      <c r="J23" s="362">
        <v>1.0</v>
      </c>
      <c r="K23" s="362">
        <v>1.0</v>
      </c>
      <c r="L23" s="362">
        <v>1.0</v>
      </c>
      <c r="M23" s="363">
        <v>1.0</v>
      </c>
      <c r="N23" s="364"/>
      <c r="O23" s="35"/>
      <c r="P23" s="35"/>
      <c r="Q23" s="35"/>
      <c r="R23" s="35"/>
      <c r="S23" s="35"/>
      <c r="T23" s="35"/>
      <c r="U23" s="35"/>
    </row>
    <row r="24" ht="13.5" customHeight="1">
      <c r="A24" s="35"/>
      <c r="B24" s="39"/>
      <c r="C24" s="365" t="s">
        <v>193</v>
      </c>
      <c r="D24" s="366">
        <f t="shared" ref="D24:M24" si="5">IFERROR((D10/D13)*D18,0)</f>
        <v>275.73</v>
      </c>
      <c r="E24" s="366">
        <f t="shared" si="5"/>
        <v>183.55</v>
      </c>
      <c r="F24" s="366">
        <f t="shared" si="5"/>
        <v>220.1</v>
      </c>
      <c r="G24" s="366">
        <f t="shared" si="5"/>
        <v>253.19</v>
      </c>
      <c r="H24" s="366">
        <f t="shared" si="5"/>
        <v>176.19</v>
      </c>
      <c r="I24" s="366">
        <f t="shared" si="5"/>
        <v>179.18</v>
      </c>
      <c r="J24" s="366">
        <f t="shared" si="5"/>
        <v>174.91</v>
      </c>
      <c r="K24" s="366">
        <f t="shared" si="5"/>
        <v>165.75</v>
      </c>
      <c r="L24" s="366">
        <f t="shared" si="5"/>
        <v>263.31</v>
      </c>
      <c r="M24" s="366">
        <f t="shared" si="5"/>
        <v>156.34</v>
      </c>
      <c r="N24" s="367">
        <f t="shared" ref="N24:N26" si="7">AVERAGE(D24:M24)</f>
        <v>204.825</v>
      </c>
      <c r="O24" s="35"/>
      <c r="P24" s="35"/>
      <c r="Q24" s="35"/>
      <c r="R24" s="35"/>
      <c r="S24" s="35"/>
      <c r="T24" s="35"/>
      <c r="U24" s="35"/>
    </row>
    <row r="25" ht="13.5" customHeight="1">
      <c r="A25" s="35"/>
      <c r="B25" s="39"/>
      <c r="C25" s="365" t="s">
        <v>194</v>
      </c>
      <c r="D25" s="368">
        <f t="shared" ref="D25:M25" si="6">D23*D24</f>
        <v>275.73</v>
      </c>
      <c r="E25" s="368">
        <f t="shared" si="6"/>
        <v>183.55</v>
      </c>
      <c r="F25" s="368">
        <f t="shared" si="6"/>
        <v>220.1</v>
      </c>
      <c r="G25" s="368">
        <f t="shared" si="6"/>
        <v>253.19</v>
      </c>
      <c r="H25" s="368">
        <f t="shared" si="6"/>
        <v>176.19</v>
      </c>
      <c r="I25" s="368">
        <f t="shared" si="6"/>
        <v>179.18</v>
      </c>
      <c r="J25" s="368">
        <f t="shared" si="6"/>
        <v>174.91</v>
      </c>
      <c r="K25" s="368">
        <f t="shared" si="6"/>
        <v>165.75</v>
      </c>
      <c r="L25" s="368">
        <f t="shared" si="6"/>
        <v>263.31</v>
      </c>
      <c r="M25" s="368">
        <f t="shared" si="6"/>
        <v>156.34</v>
      </c>
      <c r="N25" s="367">
        <f t="shared" si="7"/>
        <v>204.825</v>
      </c>
      <c r="O25" s="35"/>
      <c r="P25" s="35"/>
      <c r="Q25" s="35"/>
      <c r="R25" s="35"/>
      <c r="S25" s="35"/>
      <c r="T25" s="35"/>
      <c r="U25" s="35"/>
    </row>
    <row r="26" ht="13.5" customHeight="1">
      <c r="A26" s="35"/>
      <c r="B26" s="39"/>
      <c r="C26" s="365" t="s">
        <v>195</v>
      </c>
      <c r="D26" s="368">
        <f t="shared" ref="D26:M26" si="8">D25*(1+0.05)</f>
        <v>289.5165</v>
      </c>
      <c r="E26" s="368">
        <f t="shared" si="8"/>
        <v>192.7275</v>
      </c>
      <c r="F26" s="368">
        <f t="shared" si="8"/>
        <v>231.105</v>
      </c>
      <c r="G26" s="368">
        <f t="shared" si="8"/>
        <v>265.8495</v>
      </c>
      <c r="H26" s="368">
        <f t="shared" si="8"/>
        <v>184.9995</v>
      </c>
      <c r="I26" s="368">
        <f t="shared" si="8"/>
        <v>188.139</v>
      </c>
      <c r="J26" s="368">
        <f t="shared" si="8"/>
        <v>183.6555</v>
      </c>
      <c r="K26" s="368">
        <f t="shared" si="8"/>
        <v>174.0375</v>
      </c>
      <c r="L26" s="368">
        <f t="shared" si="8"/>
        <v>276.4755</v>
      </c>
      <c r="M26" s="368">
        <f t="shared" si="8"/>
        <v>164.157</v>
      </c>
      <c r="N26" s="367">
        <f t="shared" si="7"/>
        <v>215.06625</v>
      </c>
      <c r="O26" s="35"/>
      <c r="P26" s="35"/>
      <c r="Q26" s="35"/>
      <c r="R26" s="35"/>
      <c r="S26" s="35"/>
      <c r="T26" s="35"/>
      <c r="U26" s="35"/>
    </row>
    <row r="27" ht="13.5" customHeight="1">
      <c r="A27" s="35"/>
      <c r="B27" s="39"/>
      <c r="C27" s="369" t="s">
        <v>196</v>
      </c>
      <c r="D27" s="370">
        <f t="shared" ref="D27:M27" si="9">Iferror(3600/D26,0)</f>
        <v>12.43452446</v>
      </c>
      <c r="E27" s="370">
        <f t="shared" si="9"/>
        <v>18.67922326</v>
      </c>
      <c r="F27" s="370">
        <f t="shared" si="9"/>
        <v>15.57733498</v>
      </c>
      <c r="G27" s="370">
        <f t="shared" si="9"/>
        <v>13.54149622</v>
      </c>
      <c r="H27" s="370">
        <f t="shared" si="9"/>
        <v>19.45951205</v>
      </c>
      <c r="I27" s="370">
        <f t="shared" si="9"/>
        <v>19.13478864</v>
      </c>
      <c r="J27" s="370">
        <f t="shared" si="9"/>
        <v>19.60191772</v>
      </c>
      <c r="K27" s="370">
        <f t="shared" si="9"/>
        <v>20.68519716</v>
      </c>
      <c r="L27" s="370">
        <f t="shared" si="9"/>
        <v>13.02104526</v>
      </c>
      <c r="M27" s="370">
        <f t="shared" si="9"/>
        <v>21.93022533</v>
      </c>
      <c r="N27" s="370">
        <f>IFerror(3600/N26,0)</f>
        <v>16.73902809</v>
      </c>
      <c r="O27" s="371"/>
      <c r="P27" s="35"/>
      <c r="Q27" s="35"/>
      <c r="R27" s="35"/>
      <c r="S27" s="35"/>
      <c r="T27" s="35"/>
      <c r="U27" s="35"/>
    </row>
    <row r="28" ht="13.5" hidden="1" customHeight="1">
      <c r="A28" s="35"/>
      <c r="B28" s="35"/>
      <c r="C28" s="275"/>
      <c r="D28" s="35"/>
      <c r="E28" s="35"/>
      <c r="F28" s="275"/>
      <c r="G28" s="275"/>
      <c r="H28" s="275"/>
      <c r="I28" s="35"/>
      <c r="J28" s="35"/>
      <c r="K28" s="35"/>
      <c r="L28" s="35"/>
      <c r="M28" s="35"/>
      <c r="N28" s="35"/>
      <c r="O28" s="35"/>
      <c r="P28" s="35"/>
      <c r="Q28" s="35"/>
      <c r="R28" s="35"/>
      <c r="S28" s="35"/>
      <c r="T28" s="35"/>
      <c r="U28" s="35"/>
    </row>
    <row r="29" ht="13.5" hidden="1" customHeight="1">
      <c r="A29" s="35"/>
      <c r="B29" s="35"/>
      <c r="C29" s="356" t="s">
        <v>197</v>
      </c>
      <c r="D29" s="35"/>
      <c r="E29" s="35"/>
      <c r="F29" s="275"/>
      <c r="G29" s="275"/>
      <c r="H29" s="275"/>
      <c r="I29" s="35"/>
      <c r="J29" s="35"/>
      <c r="K29" s="35"/>
      <c r="L29" s="35"/>
      <c r="M29" s="35"/>
      <c r="N29" s="359" t="s">
        <v>163</v>
      </c>
      <c r="O29" s="35"/>
      <c r="P29" s="35"/>
      <c r="Q29" s="35"/>
      <c r="R29" s="35"/>
      <c r="S29" s="35"/>
      <c r="T29" s="35"/>
      <c r="U29" s="35"/>
    </row>
    <row r="30" ht="13.5" hidden="1" customHeight="1">
      <c r="A30" s="35"/>
      <c r="B30" s="35"/>
      <c r="C30" s="360" t="s">
        <v>193</v>
      </c>
      <c r="D30" s="372">
        <f t="shared" ref="D30:M30" si="10">IFERROR((D10/D14)*D18,0)</f>
        <v>0</v>
      </c>
      <c r="E30" s="372">
        <f t="shared" si="10"/>
        <v>0</v>
      </c>
      <c r="F30" s="372">
        <f t="shared" si="10"/>
        <v>0</v>
      </c>
      <c r="G30" s="372">
        <f t="shared" si="10"/>
        <v>0</v>
      </c>
      <c r="H30" s="372">
        <f t="shared" si="10"/>
        <v>0</v>
      </c>
      <c r="I30" s="372">
        <f t="shared" si="10"/>
        <v>0</v>
      </c>
      <c r="J30" s="372">
        <f t="shared" si="10"/>
        <v>0</v>
      </c>
      <c r="K30" s="372">
        <f t="shared" si="10"/>
        <v>0</v>
      </c>
      <c r="L30" s="372">
        <f t="shared" si="10"/>
        <v>0</v>
      </c>
      <c r="M30" s="372">
        <f t="shared" si="10"/>
        <v>0</v>
      </c>
      <c r="N30" s="373">
        <f t="shared" ref="N30:N32" si="12">AVERAGE(D30:H30)</f>
        <v>0</v>
      </c>
      <c r="O30" s="158"/>
      <c r="P30" s="158"/>
      <c r="Q30" s="158"/>
      <c r="R30" s="35"/>
      <c r="S30" s="35"/>
      <c r="T30" s="35"/>
      <c r="U30" s="35"/>
    </row>
    <row r="31" ht="13.5" hidden="1" customHeight="1">
      <c r="A31" s="35"/>
      <c r="B31" s="35"/>
      <c r="C31" s="360" t="s">
        <v>194</v>
      </c>
      <c r="D31" s="374">
        <f t="shared" ref="D31:M31" si="11">D30*D23</f>
        <v>0</v>
      </c>
      <c r="E31" s="374">
        <f t="shared" si="11"/>
        <v>0</v>
      </c>
      <c r="F31" s="374">
        <f t="shared" si="11"/>
        <v>0</v>
      </c>
      <c r="G31" s="374">
        <f t="shared" si="11"/>
        <v>0</v>
      </c>
      <c r="H31" s="374">
        <f t="shared" si="11"/>
        <v>0</v>
      </c>
      <c r="I31" s="374">
        <f t="shared" si="11"/>
        <v>0</v>
      </c>
      <c r="J31" s="374">
        <f t="shared" si="11"/>
        <v>0</v>
      </c>
      <c r="K31" s="374">
        <f t="shared" si="11"/>
        <v>0</v>
      </c>
      <c r="L31" s="374">
        <f t="shared" si="11"/>
        <v>0</v>
      </c>
      <c r="M31" s="374">
        <f t="shared" si="11"/>
        <v>0</v>
      </c>
      <c r="N31" s="367">
        <f t="shared" si="12"/>
        <v>0</v>
      </c>
      <c r="O31" s="35"/>
      <c r="P31" s="158"/>
      <c r="T31" s="35"/>
      <c r="U31" s="35"/>
    </row>
    <row r="32" ht="13.5" hidden="1" customHeight="1">
      <c r="A32" s="35"/>
      <c r="B32" s="35"/>
      <c r="C32" s="360" t="s">
        <v>195</v>
      </c>
      <c r="D32" s="374">
        <f t="shared" ref="D32:M32" si="13">D31*(1+0.05)</f>
        <v>0</v>
      </c>
      <c r="E32" s="374">
        <f t="shared" si="13"/>
        <v>0</v>
      </c>
      <c r="F32" s="374">
        <f t="shared" si="13"/>
        <v>0</v>
      </c>
      <c r="G32" s="374">
        <f t="shared" si="13"/>
        <v>0</v>
      </c>
      <c r="H32" s="374">
        <f t="shared" si="13"/>
        <v>0</v>
      </c>
      <c r="I32" s="374">
        <f t="shared" si="13"/>
        <v>0</v>
      </c>
      <c r="J32" s="374">
        <f t="shared" si="13"/>
        <v>0</v>
      </c>
      <c r="K32" s="374">
        <f t="shared" si="13"/>
        <v>0</v>
      </c>
      <c r="L32" s="374">
        <f t="shared" si="13"/>
        <v>0</v>
      </c>
      <c r="M32" s="374">
        <f t="shared" si="13"/>
        <v>0</v>
      </c>
      <c r="N32" s="367">
        <f t="shared" si="12"/>
        <v>0</v>
      </c>
      <c r="O32" s="35"/>
      <c r="P32" s="35"/>
      <c r="Q32" s="158"/>
      <c r="R32" s="158"/>
      <c r="S32" s="158"/>
      <c r="T32" s="35"/>
      <c r="U32" s="35"/>
    </row>
    <row r="33" ht="13.5" hidden="1" customHeight="1">
      <c r="A33" s="35"/>
      <c r="B33" s="35"/>
      <c r="C33" s="375" t="s">
        <v>196</v>
      </c>
      <c r="D33" s="376">
        <f t="shared" ref="D33:N33" si="14">Iferror(3600/D32,0)</f>
        <v>0</v>
      </c>
      <c r="E33" s="376">
        <f t="shared" si="14"/>
        <v>0</v>
      </c>
      <c r="F33" s="376">
        <f t="shared" si="14"/>
        <v>0</v>
      </c>
      <c r="G33" s="376">
        <f t="shared" si="14"/>
        <v>0</v>
      </c>
      <c r="H33" s="376">
        <f t="shared" si="14"/>
        <v>0</v>
      </c>
      <c r="I33" s="376">
        <f t="shared" si="14"/>
        <v>0</v>
      </c>
      <c r="J33" s="376">
        <f t="shared" si="14"/>
        <v>0</v>
      </c>
      <c r="K33" s="376">
        <f t="shared" si="14"/>
        <v>0</v>
      </c>
      <c r="L33" s="376">
        <f t="shared" si="14"/>
        <v>0</v>
      </c>
      <c r="M33" s="376">
        <f t="shared" si="14"/>
        <v>0</v>
      </c>
      <c r="N33" s="376">
        <f t="shared" si="14"/>
        <v>0</v>
      </c>
      <c r="O33" s="35"/>
      <c r="P33" s="35"/>
      <c r="Q33" s="158"/>
      <c r="R33" s="158"/>
      <c r="S33" s="158"/>
      <c r="T33" s="35"/>
      <c r="U33" s="35"/>
    </row>
    <row r="34" ht="13.5" customHeight="1">
      <c r="A34" s="35"/>
      <c r="B34" s="35"/>
      <c r="C34" s="35"/>
      <c r="D34" s="35"/>
      <c r="E34" s="35"/>
      <c r="F34" s="275"/>
      <c r="G34" s="275"/>
      <c r="H34" s="275"/>
      <c r="I34" s="35"/>
      <c r="J34" s="35"/>
      <c r="K34" s="35"/>
      <c r="L34" s="35"/>
      <c r="M34" s="35"/>
      <c r="N34" s="35"/>
      <c r="O34" s="35"/>
      <c r="P34" s="35"/>
      <c r="Q34" s="35"/>
      <c r="R34" s="35"/>
      <c r="S34" s="35"/>
      <c r="T34" s="35"/>
      <c r="U34" s="35"/>
    </row>
    <row r="35" ht="13.5" customHeight="1">
      <c r="A35" s="35"/>
      <c r="B35" s="35"/>
      <c r="C35" s="377" t="s">
        <v>198</v>
      </c>
      <c r="D35" s="35"/>
      <c r="E35" s="35"/>
      <c r="F35" s="275"/>
      <c r="G35" s="275"/>
      <c r="H35" s="275"/>
      <c r="I35" s="35"/>
      <c r="J35" s="35"/>
      <c r="K35" s="35"/>
      <c r="L35" s="35"/>
      <c r="M35" s="35"/>
      <c r="N35" s="359" t="s">
        <v>163</v>
      </c>
      <c r="O35" s="35"/>
      <c r="P35" s="35"/>
      <c r="Q35" s="35"/>
      <c r="R35" s="35"/>
      <c r="S35" s="35"/>
      <c r="T35" s="35"/>
      <c r="U35" s="35"/>
    </row>
    <row r="36" ht="13.5" customHeight="1">
      <c r="A36" s="35"/>
      <c r="B36" s="35"/>
      <c r="C36" s="360" t="s">
        <v>193</v>
      </c>
      <c r="D36" s="372">
        <f t="shared" ref="D36:M36" si="15">IFERROR((D10/D15)*D18,0)</f>
        <v>0.04795304348</v>
      </c>
      <c r="E36" s="372">
        <f t="shared" si="15"/>
        <v>0.06798148148</v>
      </c>
      <c r="F36" s="372">
        <f t="shared" si="15"/>
        <v>0.06473529412</v>
      </c>
      <c r="G36" s="372">
        <f t="shared" si="15"/>
        <v>0.03164875</v>
      </c>
      <c r="H36" s="372">
        <f t="shared" si="15"/>
        <v>0.09523783784</v>
      </c>
      <c r="I36" s="372">
        <f t="shared" si="15"/>
        <v>0.1194533333</v>
      </c>
      <c r="J36" s="372">
        <f t="shared" si="15"/>
        <v>0.1166066667</v>
      </c>
      <c r="K36" s="372">
        <f t="shared" si="15"/>
        <v>0.1105</v>
      </c>
      <c r="L36" s="372">
        <f t="shared" si="15"/>
        <v>0.17554</v>
      </c>
      <c r="M36" s="372">
        <f t="shared" si="15"/>
        <v>0.1042266667</v>
      </c>
      <c r="N36" s="367">
        <f t="shared" ref="N36:N38" si="17">AVERAGE(D36:M36)</f>
        <v>0.09338830736</v>
      </c>
      <c r="O36" s="158"/>
      <c r="P36" s="158"/>
      <c r="Q36" s="158"/>
      <c r="R36" s="35"/>
      <c r="S36" s="35"/>
      <c r="T36" s="35"/>
      <c r="U36" s="35"/>
    </row>
    <row r="37" ht="13.5" customHeight="1">
      <c r="A37" s="35"/>
      <c r="B37" s="35"/>
      <c r="C37" s="360" t="s">
        <v>194</v>
      </c>
      <c r="D37" s="374">
        <f t="shared" ref="D37:M37" si="16">D36*D23</f>
        <v>0.04795304348</v>
      </c>
      <c r="E37" s="374">
        <f t="shared" si="16"/>
        <v>0.06798148148</v>
      </c>
      <c r="F37" s="374">
        <f t="shared" si="16"/>
        <v>0.06473529412</v>
      </c>
      <c r="G37" s="374">
        <f t="shared" si="16"/>
        <v>0.03164875</v>
      </c>
      <c r="H37" s="374">
        <f t="shared" si="16"/>
        <v>0.09523783784</v>
      </c>
      <c r="I37" s="374">
        <f t="shared" si="16"/>
        <v>0.1194533333</v>
      </c>
      <c r="J37" s="374">
        <f t="shared" si="16"/>
        <v>0.1166066667</v>
      </c>
      <c r="K37" s="374">
        <f t="shared" si="16"/>
        <v>0.1105</v>
      </c>
      <c r="L37" s="374">
        <f t="shared" si="16"/>
        <v>0.17554</v>
      </c>
      <c r="M37" s="374">
        <f t="shared" si="16"/>
        <v>0.1042266667</v>
      </c>
      <c r="N37" s="367">
        <f t="shared" si="17"/>
        <v>0.09338830736</v>
      </c>
      <c r="O37" s="35"/>
      <c r="P37" s="158"/>
      <c r="T37" s="35"/>
      <c r="U37" s="35"/>
    </row>
    <row r="38" ht="13.5" customHeight="1">
      <c r="A38" s="35"/>
      <c r="B38" s="35"/>
      <c r="C38" s="360" t="s">
        <v>195</v>
      </c>
      <c r="D38" s="374">
        <f t="shared" ref="D38:M38" si="18">D37*(1+0.05)</f>
        <v>0.05035069565</v>
      </c>
      <c r="E38" s="374">
        <f t="shared" si="18"/>
        <v>0.07138055556</v>
      </c>
      <c r="F38" s="374">
        <f t="shared" si="18"/>
        <v>0.06797205882</v>
      </c>
      <c r="G38" s="374">
        <f t="shared" si="18"/>
        <v>0.0332311875</v>
      </c>
      <c r="H38" s="374">
        <f t="shared" si="18"/>
        <v>0.09999972973</v>
      </c>
      <c r="I38" s="374">
        <f t="shared" si="18"/>
        <v>0.125426</v>
      </c>
      <c r="J38" s="374">
        <f t="shared" si="18"/>
        <v>0.122437</v>
      </c>
      <c r="K38" s="374">
        <f t="shared" si="18"/>
        <v>0.116025</v>
      </c>
      <c r="L38" s="374">
        <f t="shared" si="18"/>
        <v>0.184317</v>
      </c>
      <c r="M38" s="374">
        <f t="shared" si="18"/>
        <v>0.109438</v>
      </c>
      <c r="N38" s="367">
        <f t="shared" si="17"/>
        <v>0.09805772273</v>
      </c>
      <c r="O38" s="35"/>
      <c r="P38" s="35"/>
      <c r="Q38" s="158"/>
      <c r="R38" s="158"/>
      <c r="S38" s="158"/>
      <c r="T38" s="35"/>
      <c r="U38" s="35"/>
    </row>
    <row r="39" ht="13.5" customHeight="1">
      <c r="A39" s="35"/>
      <c r="B39" s="35"/>
      <c r="C39" s="375" t="s">
        <v>196</v>
      </c>
      <c r="D39" s="376">
        <f t="shared" ref="D39:N39" si="19">IFERROR(3600/D38,0)</f>
        <v>71498.51563</v>
      </c>
      <c r="E39" s="376">
        <f t="shared" si="19"/>
        <v>50433.90279</v>
      </c>
      <c r="F39" s="376">
        <f t="shared" si="19"/>
        <v>52962.93892</v>
      </c>
      <c r="G39" s="376">
        <f t="shared" si="19"/>
        <v>108331.9698</v>
      </c>
      <c r="H39" s="376">
        <f t="shared" si="19"/>
        <v>36000.0973</v>
      </c>
      <c r="I39" s="376">
        <f t="shared" si="19"/>
        <v>28702.18296</v>
      </c>
      <c r="J39" s="376">
        <f t="shared" si="19"/>
        <v>29402.87658</v>
      </c>
      <c r="K39" s="376">
        <f t="shared" si="19"/>
        <v>31027.79573</v>
      </c>
      <c r="L39" s="376">
        <f t="shared" si="19"/>
        <v>19531.5679</v>
      </c>
      <c r="M39" s="376">
        <f t="shared" si="19"/>
        <v>32895.338</v>
      </c>
      <c r="N39" s="376">
        <f t="shared" si="19"/>
        <v>36713.06961</v>
      </c>
      <c r="O39" s="35"/>
      <c r="P39" s="35"/>
      <c r="Q39" s="158"/>
      <c r="R39" s="158"/>
      <c r="S39" s="158"/>
      <c r="T39" s="35"/>
      <c r="U39" s="35"/>
    </row>
    <row r="40" ht="13.5" customHeight="1">
      <c r="A40" s="275"/>
      <c r="B40" s="378"/>
      <c r="C40" s="378"/>
      <c r="D40" s="378"/>
      <c r="E40" s="378"/>
      <c r="F40" s="378"/>
      <c r="G40" s="378"/>
      <c r="H40" s="378"/>
      <c r="I40" s="378"/>
      <c r="J40" s="378"/>
      <c r="K40" s="378"/>
      <c r="L40" s="378"/>
      <c r="M40" s="378"/>
      <c r="N40" s="378"/>
      <c r="O40" s="275"/>
      <c r="P40" s="275"/>
      <c r="Q40" s="275"/>
      <c r="R40" s="275"/>
      <c r="S40" s="275"/>
      <c r="T40" s="275"/>
      <c r="U40" s="275"/>
    </row>
    <row r="41" ht="13.5" customHeight="1">
      <c r="A41" s="275"/>
      <c r="B41" s="378"/>
      <c r="C41" s="377" t="s">
        <v>198</v>
      </c>
      <c r="D41" s="35"/>
      <c r="E41" s="35"/>
      <c r="F41" s="275"/>
      <c r="G41" s="275"/>
      <c r="H41" s="275"/>
      <c r="I41" s="35"/>
      <c r="J41" s="35"/>
      <c r="K41" s="35"/>
      <c r="L41" s="35"/>
      <c r="M41" s="35"/>
      <c r="N41" s="359" t="s">
        <v>163</v>
      </c>
      <c r="O41" s="275"/>
      <c r="P41" s="275"/>
      <c r="Q41" s="275"/>
      <c r="R41" s="275"/>
      <c r="S41" s="275"/>
      <c r="T41" s="275"/>
      <c r="U41" s="275"/>
    </row>
    <row r="42" ht="13.5" customHeight="1">
      <c r="A42" s="275"/>
      <c r="B42" s="378"/>
      <c r="C42" s="360" t="s">
        <v>193</v>
      </c>
      <c r="D42" s="372">
        <f t="shared" ref="D42:M42" si="20">IFERROR((D10/D16)*D18,0)</f>
        <v>91.91</v>
      </c>
      <c r="E42" s="372">
        <f t="shared" si="20"/>
        <v>183.55</v>
      </c>
      <c r="F42" s="372">
        <f t="shared" si="20"/>
        <v>110.05</v>
      </c>
      <c r="G42" s="372">
        <f t="shared" si="20"/>
        <v>84.39666667</v>
      </c>
      <c r="H42" s="372">
        <f t="shared" si="20"/>
        <v>88.095</v>
      </c>
      <c r="I42" s="372">
        <f t="shared" si="20"/>
        <v>89.59</v>
      </c>
      <c r="J42" s="372">
        <f t="shared" si="20"/>
        <v>174.91</v>
      </c>
      <c r="K42" s="372">
        <f t="shared" si="20"/>
        <v>165.75</v>
      </c>
      <c r="L42" s="372">
        <f t="shared" si="20"/>
        <v>263.31</v>
      </c>
      <c r="M42" s="372">
        <f t="shared" si="20"/>
        <v>156.34</v>
      </c>
      <c r="N42" s="367">
        <f t="shared" ref="N42:N44" si="22">AVERAGE(D42:M42)</f>
        <v>140.7901667</v>
      </c>
      <c r="O42" s="275"/>
      <c r="P42" s="275"/>
      <c r="Q42" s="275"/>
      <c r="R42" s="275"/>
      <c r="S42" s="275"/>
      <c r="T42" s="275"/>
      <c r="U42" s="275"/>
    </row>
    <row r="43" ht="13.5" customHeight="1">
      <c r="A43" s="275"/>
      <c r="B43" s="378"/>
      <c r="C43" s="360" t="s">
        <v>194</v>
      </c>
      <c r="D43" s="374">
        <f>D42*D23</f>
        <v>91.91</v>
      </c>
      <c r="E43" s="374">
        <f t="shared" ref="E43:M43" si="21">E42*E29</f>
        <v>0</v>
      </c>
      <c r="F43" s="374">
        <f t="shared" si="21"/>
        <v>0</v>
      </c>
      <c r="G43" s="374">
        <f t="shared" si="21"/>
        <v>0</v>
      </c>
      <c r="H43" s="374">
        <f t="shared" si="21"/>
        <v>0</v>
      </c>
      <c r="I43" s="374">
        <f t="shared" si="21"/>
        <v>0</v>
      </c>
      <c r="J43" s="374">
        <f t="shared" si="21"/>
        <v>0</v>
      </c>
      <c r="K43" s="374">
        <f t="shared" si="21"/>
        <v>0</v>
      </c>
      <c r="L43" s="374">
        <f t="shared" si="21"/>
        <v>0</v>
      </c>
      <c r="M43" s="374">
        <f t="shared" si="21"/>
        <v>0</v>
      </c>
      <c r="N43" s="367">
        <f t="shared" si="22"/>
        <v>9.191</v>
      </c>
      <c r="O43" s="275"/>
      <c r="P43" s="275"/>
      <c r="Q43" s="275"/>
      <c r="R43" s="275"/>
      <c r="S43" s="275"/>
      <c r="T43" s="275"/>
      <c r="U43" s="275"/>
    </row>
    <row r="44" ht="13.5" customHeight="1">
      <c r="A44" s="275"/>
      <c r="B44" s="378"/>
      <c r="C44" s="360" t="s">
        <v>195</v>
      </c>
      <c r="D44" s="374">
        <f t="shared" ref="D44:M44" si="23">D43*(1+0.05)</f>
        <v>96.5055</v>
      </c>
      <c r="E44" s="374">
        <f t="shared" si="23"/>
        <v>0</v>
      </c>
      <c r="F44" s="374">
        <f t="shared" si="23"/>
        <v>0</v>
      </c>
      <c r="G44" s="374">
        <f t="shared" si="23"/>
        <v>0</v>
      </c>
      <c r="H44" s="374">
        <f t="shared" si="23"/>
        <v>0</v>
      </c>
      <c r="I44" s="374">
        <f t="shared" si="23"/>
        <v>0</v>
      </c>
      <c r="J44" s="374">
        <f t="shared" si="23"/>
        <v>0</v>
      </c>
      <c r="K44" s="374">
        <f t="shared" si="23"/>
        <v>0</v>
      </c>
      <c r="L44" s="374">
        <f t="shared" si="23"/>
        <v>0</v>
      </c>
      <c r="M44" s="374">
        <f t="shared" si="23"/>
        <v>0</v>
      </c>
      <c r="N44" s="367">
        <f t="shared" si="22"/>
        <v>9.65055</v>
      </c>
      <c r="O44" s="275"/>
      <c r="P44" s="275"/>
      <c r="Q44" s="275"/>
      <c r="R44" s="275"/>
      <c r="S44" s="275"/>
      <c r="T44" s="275"/>
      <c r="U44" s="275"/>
    </row>
    <row r="45" ht="13.5" customHeight="1">
      <c r="A45" s="275"/>
      <c r="B45" s="378"/>
      <c r="C45" s="375" t="s">
        <v>196</v>
      </c>
      <c r="D45" s="376">
        <f t="shared" ref="D45:N45" si="24">IFERROR(3600/D44,0)</f>
        <v>37.30357337</v>
      </c>
      <c r="E45" s="376">
        <f t="shared" si="24"/>
        <v>0</v>
      </c>
      <c r="F45" s="376">
        <f t="shared" si="24"/>
        <v>0</v>
      </c>
      <c r="G45" s="376">
        <f t="shared" si="24"/>
        <v>0</v>
      </c>
      <c r="H45" s="376">
        <f t="shared" si="24"/>
        <v>0</v>
      </c>
      <c r="I45" s="376">
        <f t="shared" si="24"/>
        <v>0</v>
      </c>
      <c r="J45" s="376">
        <f t="shared" si="24"/>
        <v>0</v>
      </c>
      <c r="K45" s="376">
        <f t="shared" si="24"/>
        <v>0</v>
      </c>
      <c r="L45" s="376">
        <f t="shared" si="24"/>
        <v>0</v>
      </c>
      <c r="M45" s="376">
        <f t="shared" si="24"/>
        <v>0</v>
      </c>
      <c r="N45" s="376">
        <f t="shared" si="24"/>
        <v>373.0357337</v>
      </c>
      <c r="O45" s="275"/>
      <c r="P45" s="275"/>
      <c r="Q45" s="275"/>
      <c r="R45" s="275"/>
      <c r="S45" s="275"/>
      <c r="T45" s="275"/>
      <c r="U45" s="275"/>
    </row>
    <row r="46" ht="13.5" customHeight="1">
      <c r="A46" s="275"/>
      <c r="B46" s="378"/>
      <c r="C46" s="378"/>
      <c r="D46" s="378"/>
      <c r="E46" s="378"/>
      <c r="F46" s="378"/>
      <c r="G46" s="378"/>
      <c r="H46" s="378"/>
      <c r="I46" s="378"/>
      <c r="J46" s="378"/>
      <c r="K46" s="378"/>
      <c r="L46" s="378"/>
      <c r="M46" s="378"/>
      <c r="N46" s="378"/>
      <c r="O46" s="275"/>
      <c r="P46" s="275"/>
      <c r="Q46" s="275"/>
      <c r="R46" s="275"/>
      <c r="S46" s="275"/>
      <c r="T46" s="275"/>
      <c r="U46" s="275"/>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O20:P20"/>
    <mergeCell ref="P31:S31"/>
    <mergeCell ref="P37:S37"/>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13" width="9.86"/>
    <col customWidth="1" min="14" max="14" width="19.86"/>
    <col customWidth="1" min="15" max="15" width="8.71"/>
    <col customWidth="1" min="16" max="16" width="7.0"/>
    <col customWidth="1" min="17" max="17" width="5.0"/>
    <col customWidth="1" min="18" max="18" width="13.0"/>
    <col customWidth="1" min="19" max="19" width="9.86"/>
    <col customWidth="1" min="20" max="20" width="11.86"/>
    <col customWidth="1" min="21" max="21"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row>
    <row r="2" ht="13.5" customHeight="1">
      <c r="A2" s="35"/>
      <c r="B2" s="310" t="s">
        <v>152</v>
      </c>
      <c r="O2" s="35"/>
      <c r="P2" s="35"/>
      <c r="Q2" s="35"/>
      <c r="R2" s="35"/>
      <c r="S2" s="35"/>
      <c r="T2" s="35"/>
      <c r="U2" s="35"/>
    </row>
    <row r="3" ht="13.5" customHeight="1">
      <c r="A3" s="35"/>
      <c r="B3" s="311" t="s">
        <v>153</v>
      </c>
      <c r="C3" s="277"/>
      <c r="D3" s="278"/>
      <c r="E3" s="311" t="s">
        <v>154</v>
      </c>
      <c r="F3" s="277"/>
      <c r="G3" s="278"/>
      <c r="H3" s="311" t="s">
        <v>155</v>
      </c>
      <c r="I3" s="277"/>
      <c r="J3" s="278"/>
      <c r="K3" s="311" t="s">
        <v>156</v>
      </c>
      <c r="L3" s="277"/>
      <c r="M3" s="277"/>
      <c r="N3" s="278"/>
      <c r="O3" s="35"/>
      <c r="P3" s="35"/>
      <c r="Q3" s="35"/>
      <c r="R3" s="35"/>
      <c r="S3" s="35"/>
      <c r="T3" s="35"/>
      <c r="U3" s="35"/>
    </row>
    <row r="4" ht="13.5" customHeight="1">
      <c r="A4" s="35"/>
      <c r="B4" s="312" t="s">
        <v>199</v>
      </c>
      <c r="C4" s="263"/>
      <c r="D4" s="264"/>
      <c r="E4" s="313" t="s">
        <v>158</v>
      </c>
      <c r="F4" s="263"/>
      <c r="G4" s="264"/>
      <c r="H4" s="314"/>
      <c r="I4" s="263"/>
      <c r="J4" s="264"/>
      <c r="K4" s="315"/>
      <c r="L4" s="263"/>
      <c r="M4" s="263"/>
      <c r="N4" s="264"/>
      <c r="O4" s="35"/>
      <c r="P4" s="35"/>
      <c r="Q4" s="35"/>
      <c r="R4" s="35"/>
      <c r="S4" s="35"/>
      <c r="T4" s="35"/>
      <c r="U4" s="35"/>
    </row>
    <row r="5" ht="13.5" customHeight="1">
      <c r="A5" s="35"/>
      <c r="B5" s="284"/>
      <c r="C5" s="316"/>
      <c r="D5" s="317"/>
      <c r="E5" s="284"/>
      <c r="F5" s="316"/>
      <c r="G5" s="317"/>
      <c r="H5" s="284"/>
      <c r="I5" s="316"/>
      <c r="J5" s="317"/>
      <c r="K5" s="284"/>
      <c r="L5" s="316"/>
      <c r="M5" s="316"/>
      <c r="N5" s="317"/>
      <c r="O5" s="35"/>
      <c r="P5" s="35"/>
      <c r="Q5" s="35"/>
      <c r="R5" s="35"/>
      <c r="S5" s="35"/>
      <c r="T5" s="35"/>
      <c r="U5" s="35"/>
    </row>
    <row r="6" ht="13.5" customHeight="1">
      <c r="A6" s="35"/>
      <c r="B6" s="158"/>
      <c r="C6" s="158"/>
      <c r="D6" s="158"/>
      <c r="E6" s="158"/>
      <c r="F6" s="158"/>
      <c r="G6" s="158"/>
      <c r="H6" s="158"/>
      <c r="I6" s="158"/>
      <c r="J6" s="158"/>
      <c r="K6" s="158"/>
      <c r="L6" s="158"/>
      <c r="M6" s="158"/>
      <c r="N6" s="158"/>
      <c r="O6" s="35"/>
      <c r="P6" s="35"/>
      <c r="Q6" s="35"/>
      <c r="R6" s="35"/>
      <c r="S6" s="35"/>
      <c r="T6" s="35"/>
      <c r="U6" s="35"/>
    </row>
    <row r="7" ht="13.5" customHeight="1">
      <c r="A7" s="35"/>
      <c r="B7" s="318" t="s">
        <v>159</v>
      </c>
      <c r="C7" s="319" t="s">
        <v>160</v>
      </c>
      <c r="D7" s="320" t="s">
        <v>161</v>
      </c>
      <c r="E7" s="277"/>
      <c r="F7" s="277"/>
      <c r="G7" s="277"/>
      <c r="H7" s="277"/>
      <c r="I7" s="277"/>
      <c r="J7" s="277"/>
      <c r="K7" s="277"/>
      <c r="L7" s="277"/>
      <c r="M7" s="278"/>
      <c r="N7" s="321" t="s">
        <v>162</v>
      </c>
      <c r="O7" s="158"/>
      <c r="P7" s="322" t="s">
        <v>163</v>
      </c>
      <c r="Q7" s="322" t="s">
        <v>164</v>
      </c>
      <c r="R7" s="323" t="s">
        <v>165</v>
      </c>
      <c r="S7" s="323" t="s">
        <v>166</v>
      </c>
      <c r="T7" s="323" t="s">
        <v>167</v>
      </c>
      <c r="U7" s="35"/>
    </row>
    <row r="8" ht="13.5" customHeight="1">
      <c r="A8" s="35"/>
      <c r="B8" s="199"/>
      <c r="C8" s="199"/>
      <c r="D8" s="324" t="s">
        <v>168</v>
      </c>
      <c r="E8" s="324" t="s">
        <v>169</v>
      </c>
      <c r="F8" s="324" t="s">
        <v>170</v>
      </c>
      <c r="G8" s="324" t="s">
        <v>171</v>
      </c>
      <c r="H8" s="324" t="s">
        <v>172</v>
      </c>
      <c r="I8" s="324" t="s">
        <v>173</v>
      </c>
      <c r="J8" s="324" t="s">
        <v>174</v>
      </c>
      <c r="K8" s="324" t="s">
        <v>175</v>
      </c>
      <c r="L8" s="324" t="s">
        <v>176</v>
      </c>
      <c r="M8" s="324" t="s">
        <v>177</v>
      </c>
      <c r="N8" s="324" t="s">
        <v>178</v>
      </c>
      <c r="O8" s="158"/>
      <c r="P8" s="199"/>
      <c r="Q8" s="199"/>
      <c r="R8" s="199"/>
      <c r="S8" s="199"/>
      <c r="T8" s="199"/>
      <c r="U8" s="35"/>
    </row>
    <row r="9" ht="13.5" customHeight="1">
      <c r="A9" s="158"/>
      <c r="B9" s="325">
        <v>1.0</v>
      </c>
      <c r="C9" s="326" t="s">
        <v>200</v>
      </c>
      <c r="D9" s="327">
        <v>76.48</v>
      </c>
      <c r="E9" s="328">
        <v>37.2</v>
      </c>
      <c r="F9" s="329">
        <v>42.69</v>
      </c>
      <c r="G9" s="329">
        <v>79.07</v>
      </c>
      <c r="H9" s="329">
        <v>51.35</v>
      </c>
      <c r="I9" s="329">
        <v>42.05</v>
      </c>
      <c r="J9" s="329">
        <v>39.36</v>
      </c>
      <c r="K9" s="329">
        <v>56.0</v>
      </c>
      <c r="L9" s="329">
        <v>46.0</v>
      </c>
      <c r="M9" s="329">
        <v>51.42</v>
      </c>
      <c r="N9" s="330">
        <f t="shared" ref="N9:N11" si="1">SUM(D9:M9)</f>
        <v>521.62</v>
      </c>
      <c r="O9" s="158"/>
      <c r="P9" s="328">
        <f t="shared" ref="P9:P10" si="2">Iferror(AVERAGE(D9:M9),0)</f>
        <v>52.162</v>
      </c>
      <c r="Q9" s="331">
        <f t="shared" ref="Q9:Q10" si="3">MAX(D9:M9)</f>
        <v>79.07</v>
      </c>
      <c r="R9" s="379">
        <f t="shared" ref="R9:R10" si="4">Iferror(P9/$P$11,0)</f>
        <v>0.4699109942</v>
      </c>
      <c r="S9" s="333"/>
      <c r="T9" s="333" t="s">
        <v>201</v>
      </c>
      <c r="U9" s="158"/>
    </row>
    <row r="10" ht="13.5" customHeight="1">
      <c r="A10" s="158"/>
      <c r="B10" s="325">
        <v>2.0</v>
      </c>
      <c r="C10" s="326" t="s">
        <v>202</v>
      </c>
      <c r="D10" s="327">
        <f>38.22+24.38</f>
        <v>62.6</v>
      </c>
      <c r="E10" s="328">
        <v>48.36</v>
      </c>
      <c r="F10" s="329">
        <v>53.98</v>
      </c>
      <c r="G10" s="329">
        <v>44.88</v>
      </c>
      <c r="H10" s="329">
        <v>52.83</v>
      </c>
      <c r="I10" s="329">
        <v>60.07</v>
      </c>
      <c r="J10" s="329">
        <v>92.05</v>
      </c>
      <c r="K10" s="329">
        <v>56.0</v>
      </c>
      <c r="L10" s="329">
        <v>59.0</v>
      </c>
      <c r="M10" s="329">
        <v>58.65</v>
      </c>
      <c r="N10" s="330">
        <f t="shared" si="1"/>
        <v>588.42</v>
      </c>
      <c r="O10" s="158"/>
      <c r="P10" s="328">
        <f t="shared" si="2"/>
        <v>58.842</v>
      </c>
      <c r="Q10" s="331">
        <f t="shared" si="3"/>
        <v>92.05</v>
      </c>
      <c r="R10" s="379">
        <f t="shared" si="4"/>
        <v>0.5300890058</v>
      </c>
      <c r="S10" s="333"/>
      <c r="T10" s="333"/>
      <c r="U10" s="158"/>
    </row>
    <row r="11" ht="13.5" customHeight="1">
      <c r="A11" s="35"/>
      <c r="B11" s="334"/>
      <c r="C11" s="335" t="s">
        <v>180</v>
      </c>
      <c r="D11" s="336">
        <f t="shared" ref="D11:M11" si="5">sum(D9:D10)</f>
        <v>139.08</v>
      </c>
      <c r="E11" s="336">
        <f t="shared" si="5"/>
        <v>85.56</v>
      </c>
      <c r="F11" s="336">
        <f t="shared" si="5"/>
        <v>96.67</v>
      </c>
      <c r="G11" s="336">
        <f t="shared" si="5"/>
        <v>123.95</v>
      </c>
      <c r="H11" s="336">
        <f t="shared" si="5"/>
        <v>104.18</v>
      </c>
      <c r="I11" s="336">
        <f t="shared" si="5"/>
        <v>102.12</v>
      </c>
      <c r="J11" s="336">
        <f t="shared" si="5"/>
        <v>131.41</v>
      </c>
      <c r="K11" s="336">
        <f t="shared" si="5"/>
        <v>112</v>
      </c>
      <c r="L11" s="336">
        <f t="shared" si="5"/>
        <v>105</v>
      </c>
      <c r="M11" s="336">
        <f t="shared" si="5"/>
        <v>110.07</v>
      </c>
      <c r="N11" s="337">
        <f t="shared" si="1"/>
        <v>1110.04</v>
      </c>
      <c r="O11" s="338"/>
      <c r="P11" s="339">
        <f t="shared" ref="P11:R11" si="6">SUM(P9:P10)</f>
        <v>111.004</v>
      </c>
      <c r="Q11" s="340">
        <f t="shared" si="6"/>
        <v>171.12</v>
      </c>
      <c r="R11" s="341">
        <f t="shared" si="6"/>
        <v>1</v>
      </c>
      <c r="S11" s="35"/>
      <c r="T11" s="35"/>
      <c r="U11" s="35"/>
    </row>
    <row r="12" ht="13.5" customHeight="1">
      <c r="A12" s="35"/>
      <c r="B12" s="35"/>
      <c r="C12" s="335" t="s">
        <v>181</v>
      </c>
      <c r="D12" s="380">
        <f t="shared" ref="D12:N12" si="7">D11/60</f>
        <v>2.318</v>
      </c>
      <c r="E12" s="380">
        <f t="shared" si="7"/>
        <v>1.426</v>
      </c>
      <c r="F12" s="380">
        <f t="shared" si="7"/>
        <v>1.611166667</v>
      </c>
      <c r="G12" s="380">
        <f t="shared" si="7"/>
        <v>2.065833333</v>
      </c>
      <c r="H12" s="380">
        <f t="shared" si="7"/>
        <v>1.736333333</v>
      </c>
      <c r="I12" s="380">
        <f t="shared" si="7"/>
        <v>1.702</v>
      </c>
      <c r="J12" s="380">
        <f t="shared" si="7"/>
        <v>2.190166667</v>
      </c>
      <c r="K12" s="380">
        <f t="shared" si="7"/>
        <v>1.866666667</v>
      </c>
      <c r="L12" s="380">
        <f t="shared" si="7"/>
        <v>1.75</v>
      </c>
      <c r="M12" s="380">
        <f t="shared" si="7"/>
        <v>1.8345</v>
      </c>
      <c r="N12" s="343">
        <f t="shared" si="7"/>
        <v>18.50066667</v>
      </c>
      <c r="O12" s="158"/>
      <c r="P12" s="344"/>
      <c r="Q12" s="344"/>
      <c r="R12" s="158"/>
      <c r="S12" s="35"/>
      <c r="T12" s="35"/>
      <c r="U12" s="35"/>
    </row>
    <row r="13" ht="13.5" customHeight="1">
      <c r="A13" s="35"/>
      <c r="B13" s="35"/>
      <c r="C13" s="158"/>
      <c r="D13" s="344"/>
      <c r="E13" s="344"/>
      <c r="F13" s="345"/>
      <c r="G13" s="345"/>
      <c r="H13" s="345"/>
      <c r="I13" s="344"/>
      <c r="J13" s="344"/>
      <c r="K13" s="344"/>
      <c r="L13" s="344"/>
      <c r="M13" s="344"/>
      <c r="N13" s="346" t="s">
        <v>182</v>
      </c>
      <c r="O13" s="158"/>
      <c r="P13" s="344"/>
      <c r="Q13" s="344"/>
      <c r="R13" s="158"/>
      <c r="S13" s="35"/>
      <c r="T13" s="35"/>
      <c r="U13" s="35"/>
    </row>
    <row r="14" ht="13.5" customHeight="1">
      <c r="A14" s="35"/>
      <c r="B14" s="35"/>
      <c r="C14" s="347" t="s">
        <v>183</v>
      </c>
      <c r="D14" s="348">
        <v>1.0</v>
      </c>
      <c r="E14" s="348">
        <v>1.0</v>
      </c>
      <c r="F14" s="349">
        <v>1.0</v>
      </c>
      <c r="G14" s="349">
        <v>1.0</v>
      </c>
      <c r="H14" s="349">
        <v>1.0</v>
      </c>
      <c r="I14" s="350">
        <v>1.0</v>
      </c>
      <c r="J14" s="350">
        <v>1.0</v>
      </c>
      <c r="K14" s="350">
        <v>1.0</v>
      </c>
      <c r="L14" s="350">
        <v>1.0</v>
      </c>
      <c r="M14" s="350">
        <v>1.0</v>
      </c>
      <c r="N14" s="158"/>
      <c r="O14" s="158"/>
      <c r="P14" s="158"/>
      <c r="Q14" s="232"/>
      <c r="R14" s="35"/>
      <c r="S14" s="35"/>
      <c r="T14" s="35"/>
      <c r="U14" s="35"/>
    </row>
    <row r="15" ht="13.5" hidden="1" customHeight="1">
      <c r="A15" s="381"/>
      <c r="B15" s="381"/>
      <c r="C15" s="347" t="s">
        <v>184</v>
      </c>
      <c r="D15" s="348"/>
      <c r="E15" s="348"/>
      <c r="F15" s="382"/>
      <c r="G15" s="382"/>
      <c r="H15" s="382"/>
      <c r="I15" s="383"/>
      <c r="J15" s="383"/>
      <c r="K15" s="383"/>
      <c r="L15" s="383"/>
      <c r="M15" s="383"/>
      <c r="N15" s="153"/>
      <c r="O15" s="153"/>
      <c r="P15" s="153"/>
      <c r="Q15" s="384"/>
      <c r="R15" s="381"/>
      <c r="S15" s="381"/>
      <c r="T15" s="381"/>
      <c r="U15" s="381"/>
    </row>
    <row r="16" ht="13.5" customHeight="1">
      <c r="A16" s="381"/>
      <c r="B16" s="381"/>
      <c r="C16" s="347" t="s">
        <v>203</v>
      </c>
      <c r="D16" s="348">
        <v>13000.0</v>
      </c>
      <c r="E16" s="348">
        <v>30000.0</v>
      </c>
      <c r="F16" s="382">
        <v>15000.0</v>
      </c>
      <c r="G16" s="382">
        <v>10000.0</v>
      </c>
      <c r="H16" s="382">
        <v>60.0</v>
      </c>
      <c r="I16" s="383">
        <v>222.0</v>
      </c>
      <c r="J16" s="383">
        <v>210.0</v>
      </c>
      <c r="K16" s="383">
        <v>50.0</v>
      </c>
      <c r="L16" s="383">
        <v>480.0</v>
      </c>
      <c r="M16" s="383">
        <v>480.0</v>
      </c>
      <c r="N16" s="153"/>
      <c r="O16" s="153"/>
      <c r="P16" s="153"/>
      <c r="Q16" s="384"/>
      <c r="R16" s="381"/>
      <c r="S16" s="381"/>
      <c r="T16" s="381"/>
      <c r="U16" s="381"/>
    </row>
    <row r="17" ht="13.5" customHeight="1">
      <c r="A17" s="35"/>
      <c r="B17" s="35"/>
      <c r="C17" s="352" t="s">
        <v>204</v>
      </c>
      <c r="D17" s="353" t="s">
        <v>205</v>
      </c>
      <c r="E17" s="353" t="s">
        <v>205</v>
      </c>
      <c r="F17" s="353" t="s">
        <v>205</v>
      </c>
      <c r="G17" s="353" t="s">
        <v>205</v>
      </c>
      <c r="H17" s="353" t="s">
        <v>205</v>
      </c>
      <c r="I17" s="353" t="s">
        <v>205</v>
      </c>
      <c r="J17" s="353" t="s">
        <v>205</v>
      </c>
      <c r="K17" s="353" t="s">
        <v>205</v>
      </c>
      <c r="L17" s="353" t="s">
        <v>205</v>
      </c>
      <c r="M17" s="353" t="s">
        <v>205</v>
      </c>
      <c r="N17" s="158"/>
      <c r="O17" s="158"/>
      <c r="P17" s="158"/>
      <c r="Q17" s="232"/>
      <c r="R17" s="35"/>
      <c r="S17" s="35"/>
      <c r="T17" s="35"/>
      <c r="U17" s="35"/>
    </row>
    <row r="18" ht="13.5" customHeight="1">
      <c r="A18" s="35"/>
      <c r="B18" s="35"/>
      <c r="C18" s="347" t="s">
        <v>187</v>
      </c>
      <c r="D18" s="353" t="s">
        <v>206</v>
      </c>
      <c r="E18" s="353" t="s">
        <v>206</v>
      </c>
      <c r="F18" s="353" t="s">
        <v>206</v>
      </c>
      <c r="G18" s="353" t="s">
        <v>206</v>
      </c>
      <c r="H18" s="353" t="s">
        <v>206</v>
      </c>
      <c r="I18" s="353" t="s">
        <v>206</v>
      </c>
      <c r="J18" s="353" t="s">
        <v>206</v>
      </c>
      <c r="K18" s="350" t="s">
        <v>207</v>
      </c>
      <c r="L18" s="350" t="s">
        <v>207</v>
      </c>
      <c r="M18" s="350" t="s">
        <v>207</v>
      </c>
      <c r="N18" s="158"/>
      <c r="O18" s="158"/>
      <c r="P18" s="158"/>
      <c r="Q18" s="232"/>
      <c r="R18" s="35"/>
      <c r="S18" s="35"/>
      <c r="T18" s="35"/>
      <c r="U18" s="35"/>
    </row>
    <row r="19" ht="13.5" customHeight="1">
      <c r="A19" s="35"/>
      <c r="B19" s="35"/>
      <c r="C19" s="347" t="s">
        <v>189</v>
      </c>
      <c r="D19" s="354">
        <v>1.0</v>
      </c>
      <c r="E19" s="354">
        <v>1.0</v>
      </c>
      <c r="F19" s="354">
        <v>1.0</v>
      </c>
      <c r="G19" s="354">
        <v>1.0</v>
      </c>
      <c r="H19" s="354">
        <v>1.0</v>
      </c>
      <c r="I19" s="354">
        <v>1.0</v>
      </c>
      <c r="J19" s="354">
        <v>1.0</v>
      </c>
      <c r="K19" s="354">
        <v>1.0</v>
      </c>
      <c r="L19" s="354">
        <v>1.0</v>
      </c>
      <c r="M19" s="354">
        <v>1.0</v>
      </c>
      <c r="N19" s="158"/>
      <c r="O19" s="158"/>
      <c r="P19" s="158"/>
      <c r="Q19" s="232"/>
      <c r="R19" s="35"/>
      <c r="S19" s="35"/>
      <c r="T19" s="35"/>
      <c r="U19" s="35"/>
    </row>
    <row r="20" ht="13.5" customHeight="1">
      <c r="A20" s="35"/>
      <c r="B20" s="35"/>
      <c r="C20" s="347" t="s">
        <v>190</v>
      </c>
      <c r="D20" s="355">
        <v>45661.0</v>
      </c>
      <c r="E20" s="355">
        <v>45661.0</v>
      </c>
      <c r="F20" s="355">
        <v>45661.0</v>
      </c>
      <c r="G20" s="355">
        <v>45661.0</v>
      </c>
      <c r="H20" s="355">
        <v>45661.0</v>
      </c>
      <c r="I20" s="355">
        <v>45661.0</v>
      </c>
      <c r="J20" s="355">
        <v>45661.0</v>
      </c>
      <c r="K20" s="355">
        <v>45661.0</v>
      </c>
      <c r="L20" s="355">
        <v>45661.0</v>
      </c>
      <c r="M20" s="355">
        <v>45661.0</v>
      </c>
      <c r="N20" s="158"/>
      <c r="O20" s="158"/>
      <c r="P20" s="158"/>
      <c r="Q20" s="232"/>
      <c r="R20" s="35"/>
      <c r="S20" s="35"/>
      <c r="T20" s="35"/>
      <c r="U20" s="35"/>
    </row>
    <row r="21" ht="13.5" customHeight="1">
      <c r="A21" s="35"/>
      <c r="B21" s="35"/>
      <c r="C21" s="35"/>
      <c r="D21" s="35"/>
      <c r="E21" s="35"/>
      <c r="F21" s="275"/>
      <c r="G21" s="275"/>
      <c r="H21" s="275"/>
      <c r="I21" s="35"/>
      <c r="J21" s="35"/>
      <c r="K21" s="35"/>
      <c r="L21" s="35"/>
      <c r="M21" s="35"/>
      <c r="N21" s="35"/>
      <c r="O21" s="35"/>
      <c r="Q21" s="35"/>
      <c r="R21" s="35"/>
      <c r="S21" s="35"/>
      <c r="T21" s="35"/>
      <c r="U21" s="35"/>
    </row>
    <row r="22" ht="13.5" customHeight="1">
      <c r="A22" s="35"/>
      <c r="B22" s="35"/>
      <c r="C22" s="35"/>
      <c r="D22" s="35"/>
      <c r="E22" s="35"/>
      <c r="F22" s="275"/>
      <c r="G22" s="275"/>
      <c r="H22" s="275"/>
      <c r="I22" s="35"/>
      <c r="J22" s="35"/>
      <c r="K22" s="35"/>
      <c r="L22" s="35"/>
      <c r="M22" s="35"/>
      <c r="N22" s="35"/>
      <c r="O22" s="35"/>
      <c r="P22" s="35"/>
      <c r="Q22" s="35"/>
      <c r="R22" s="35"/>
      <c r="S22" s="35"/>
      <c r="T22" s="35"/>
      <c r="U22" s="35"/>
    </row>
    <row r="23" ht="13.5" customHeight="1">
      <c r="A23" s="35"/>
      <c r="B23" s="35"/>
      <c r="C23" s="356" t="s">
        <v>191</v>
      </c>
      <c r="D23" s="357"/>
      <c r="E23" s="357"/>
      <c r="F23" s="358"/>
      <c r="G23" s="358"/>
      <c r="H23" s="358"/>
      <c r="I23" s="357"/>
      <c r="J23" s="357"/>
      <c r="K23" s="357"/>
      <c r="L23" s="357"/>
      <c r="M23" s="357"/>
      <c r="N23" s="359" t="s">
        <v>163</v>
      </c>
      <c r="O23" s="35"/>
      <c r="P23" s="35"/>
      <c r="Q23" s="35"/>
      <c r="R23" s="35"/>
      <c r="S23" s="35"/>
      <c r="T23" s="35"/>
      <c r="U23" s="35"/>
    </row>
    <row r="24" ht="13.5" customHeight="1">
      <c r="A24" s="35"/>
      <c r="B24" s="35"/>
      <c r="C24" s="360" t="s">
        <v>192</v>
      </c>
      <c r="D24" s="361">
        <v>1.0</v>
      </c>
      <c r="E24" s="361">
        <v>1.0</v>
      </c>
      <c r="F24" s="362">
        <v>1.0</v>
      </c>
      <c r="G24" s="362">
        <v>1.0</v>
      </c>
      <c r="H24" s="362">
        <v>1.0</v>
      </c>
      <c r="I24" s="362">
        <v>1.0</v>
      </c>
      <c r="J24" s="362">
        <v>1.0</v>
      </c>
      <c r="K24" s="362">
        <v>1.0</v>
      </c>
      <c r="L24" s="362">
        <v>1.0</v>
      </c>
      <c r="M24" s="363">
        <v>1.0</v>
      </c>
      <c r="N24" s="364"/>
      <c r="O24" s="35"/>
      <c r="P24" s="35"/>
      <c r="Q24" s="35"/>
      <c r="R24" s="35"/>
      <c r="S24" s="35"/>
      <c r="T24" s="35"/>
      <c r="U24" s="35"/>
    </row>
    <row r="25" ht="13.5" customHeight="1">
      <c r="A25" s="35"/>
      <c r="B25" s="39"/>
      <c r="C25" s="365" t="s">
        <v>193</v>
      </c>
      <c r="D25" s="366">
        <f t="shared" ref="D25:F25" si="8">IFERROR((D11/D14)*D19,0)</f>
        <v>139.08</v>
      </c>
      <c r="E25" s="366">
        <f t="shared" si="8"/>
        <v>85.56</v>
      </c>
      <c r="F25" s="366">
        <f t="shared" si="8"/>
        <v>96.67</v>
      </c>
      <c r="G25" s="366">
        <v>95.0</v>
      </c>
      <c r="H25" s="366">
        <f t="shared" ref="H25:M25" si="9">IFERROR((H11/H14)*H19,0)</f>
        <v>104.18</v>
      </c>
      <c r="I25" s="366">
        <f t="shared" si="9"/>
        <v>102.12</v>
      </c>
      <c r="J25" s="366">
        <f t="shared" si="9"/>
        <v>131.41</v>
      </c>
      <c r="K25" s="366">
        <f t="shared" si="9"/>
        <v>112</v>
      </c>
      <c r="L25" s="366">
        <f t="shared" si="9"/>
        <v>105</v>
      </c>
      <c r="M25" s="366">
        <f t="shared" si="9"/>
        <v>110.07</v>
      </c>
      <c r="N25" s="367">
        <f t="shared" ref="N25:N27" si="11">AVERAGE(D25:M25)</f>
        <v>108.109</v>
      </c>
      <c r="O25" s="35"/>
      <c r="P25" s="35"/>
      <c r="Q25" s="35"/>
      <c r="R25" s="35"/>
      <c r="S25" s="35"/>
      <c r="T25" s="35"/>
      <c r="U25" s="35"/>
    </row>
    <row r="26" ht="13.5" customHeight="1">
      <c r="A26" s="35"/>
      <c r="B26" s="39"/>
      <c r="C26" s="365" t="s">
        <v>194</v>
      </c>
      <c r="D26" s="368">
        <f t="shared" ref="D26:M26" si="10">D24*D25</f>
        <v>139.08</v>
      </c>
      <c r="E26" s="368">
        <f t="shared" si="10"/>
        <v>85.56</v>
      </c>
      <c r="F26" s="368">
        <f t="shared" si="10"/>
        <v>96.67</v>
      </c>
      <c r="G26" s="368">
        <f t="shared" si="10"/>
        <v>95</v>
      </c>
      <c r="H26" s="368">
        <f t="shared" si="10"/>
        <v>104.18</v>
      </c>
      <c r="I26" s="368">
        <f t="shared" si="10"/>
        <v>102.12</v>
      </c>
      <c r="J26" s="368">
        <f t="shared" si="10"/>
        <v>131.41</v>
      </c>
      <c r="K26" s="368">
        <f t="shared" si="10"/>
        <v>112</v>
      </c>
      <c r="L26" s="368">
        <f t="shared" si="10"/>
        <v>105</v>
      </c>
      <c r="M26" s="368">
        <f t="shared" si="10"/>
        <v>110.07</v>
      </c>
      <c r="N26" s="367">
        <f t="shared" si="11"/>
        <v>108.109</v>
      </c>
      <c r="O26" s="35"/>
      <c r="P26" s="35"/>
      <c r="Q26" s="35"/>
      <c r="R26" s="35"/>
      <c r="S26" s="35"/>
      <c r="T26" s="35"/>
      <c r="U26" s="35"/>
    </row>
    <row r="27" ht="13.5" customHeight="1">
      <c r="A27" s="35"/>
      <c r="B27" s="39"/>
      <c r="C27" s="365" t="s">
        <v>208</v>
      </c>
      <c r="D27" s="368">
        <f t="shared" ref="D27:M27" si="12">D26*(1+0.1)</f>
        <v>152.988</v>
      </c>
      <c r="E27" s="368">
        <f t="shared" si="12"/>
        <v>94.116</v>
      </c>
      <c r="F27" s="368">
        <f t="shared" si="12"/>
        <v>106.337</v>
      </c>
      <c r="G27" s="368">
        <f t="shared" si="12"/>
        <v>104.5</v>
      </c>
      <c r="H27" s="368">
        <f t="shared" si="12"/>
        <v>114.598</v>
      </c>
      <c r="I27" s="368">
        <f t="shared" si="12"/>
        <v>112.332</v>
      </c>
      <c r="J27" s="368">
        <f t="shared" si="12"/>
        <v>144.551</v>
      </c>
      <c r="K27" s="368">
        <f t="shared" si="12"/>
        <v>123.2</v>
      </c>
      <c r="L27" s="368">
        <f t="shared" si="12"/>
        <v>115.5</v>
      </c>
      <c r="M27" s="368">
        <f t="shared" si="12"/>
        <v>121.077</v>
      </c>
      <c r="N27" s="367">
        <f t="shared" si="11"/>
        <v>118.9199</v>
      </c>
      <c r="O27" s="35"/>
      <c r="P27" s="35"/>
      <c r="Q27" s="35"/>
      <c r="R27" s="35"/>
      <c r="S27" s="35"/>
      <c r="T27" s="35"/>
      <c r="U27" s="35"/>
    </row>
    <row r="28" ht="13.5" customHeight="1">
      <c r="A28" s="35"/>
      <c r="B28" s="39"/>
      <c r="C28" s="369" t="s">
        <v>196</v>
      </c>
      <c r="D28" s="370">
        <f t="shared" ref="D28:M28" si="13">Iferror(3600/D27,0)</f>
        <v>23.53125735</v>
      </c>
      <c r="E28" s="370">
        <f t="shared" si="13"/>
        <v>38.25066939</v>
      </c>
      <c r="F28" s="370">
        <f t="shared" si="13"/>
        <v>33.85463197</v>
      </c>
      <c r="G28" s="370">
        <f t="shared" si="13"/>
        <v>34.44976077</v>
      </c>
      <c r="H28" s="370">
        <f t="shared" si="13"/>
        <v>31.41416081</v>
      </c>
      <c r="I28" s="370">
        <f t="shared" si="13"/>
        <v>32.04785813</v>
      </c>
      <c r="J28" s="370">
        <f t="shared" si="13"/>
        <v>24.90470491</v>
      </c>
      <c r="K28" s="370">
        <f t="shared" si="13"/>
        <v>29.22077922</v>
      </c>
      <c r="L28" s="370">
        <f t="shared" si="13"/>
        <v>31.16883117</v>
      </c>
      <c r="M28" s="370">
        <f t="shared" si="13"/>
        <v>29.73314502</v>
      </c>
      <c r="N28" s="370">
        <f>IFerror(3600/N27,0)</f>
        <v>30.27247752</v>
      </c>
      <c r="O28" s="371"/>
      <c r="P28" s="35"/>
      <c r="Q28" s="35"/>
      <c r="R28" s="35"/>
      <c r="S28" s="35"/>
      <c r="T28" s="35"/>
      <c r="U28" s="35"/>
    </row>
    <row r="29" ht="13.5" hidden="1" customHeight="1">
      <c r="A29" s="35"/>
      <c r="B29" s="35"/>
      <c r="C29" s="275"/>
      <c r="D29" s="35"/>
      <c r="E29" s="35"/>
      <c r="F29" s="275"/>
      <c r="G29" s="275"/>
      <c r="H29" s="275"/>
      <c r="I29" s="35"/>
      <c r="J29" s="35"/>
      <c r="K29" s="35"/>
      <c r="L29" s="35"/>
      <c r="M29" s="35"/>
      <c r="N29" s="35"/>
      <c r="O29" s="35"/>
      <c r="P29" s="35"/>
      <c r="Q29" s="35"/>
      <c r="R29" s="35"/>
      <c r="S29" s="35"/>
      <c r="T29" s="35"/>
      <c r="U29" s="35"/>
    </row>
    <row r="30" ht="13.5" hidden="1" customHeight="1">
      <c r="A30" s="35"/>
      <c r="B30" s="35"/>
      <c r="C30" s="356" t="s">
        <v>197</v>
      </c>
      <c r="D30" s="35"/>
      <c r="E30" s="35"/>
      <c r="F30" s="275"/>
      <c r="G30" s="275"/>
      <c r="H30" s="275"/>
      <c r="I30" s="35"/>
      <c r="J30" s="35"/>
      <c r="K30" s="35"/>
      <c r="L30" s="35"/>
      <c r="M30" s="35"/>
      <c r="N30" s="359" t="s">
        <v>163</v>
      </c>
      <c r="O30" s="35"/>
      <c r="P30" s="35"/>
      <c r="Q30" s="35"/>
      <c r="R30" s="35"/>
      <c r="S30" s="35"/>
      <c r="T30" s="35"/>
      <c r="U30" s="35"/>
    </row>
    <row r="31" ht="13.5" hidden="1" customHeight="1">
      <c r="A31" s="35"/>
      <c r="B31" s="35"/>
      <c r="C31" s="360" t="s">
        <v>193</v>
      </c>
      <c r="D31" s="372">
        <f t="shared" ref="D31:M31" si="14">IFERROR((D11/D15)*D19,0)</f>
        <v>0</v>
      </c>
      <c r="E31" s="372">
        <f t="shared" si="14"/>
        <v>0</v>
      </c>
      <c r="F31" s="372">
        <f t="shared" si="14"/>
        <v>0</v>
      </c>
      <c r="G31" s="372">
        <f t="shared" si="14"/>
        <v>0</v>
      </c>
      <c r="H31" s="372">
        <f t="shared" si="14"/>
        <v>0</v>
      </c>
      <c r="I31" s="372">
        <f t="shared" si="14"/>
        <v>0</v>
      </c>
      <c r="J31" s="372">
        <f t="shared" si="14"/>
        <v>0</v>
      </c>
      <c r="K31" s="372">
        <f t="shared" si="14"/>
        <v>0</v>
      </c>
      <c r="L31" s="372">
        <f t="shared" si="14"/>
        <v>0</v>
      </c>
      <c r="M31" s="372">
        <f t="shared" si="14"/>
        <v>0</v>
      </c>
      <c r="N31" s="373">
        <f t="shared" ref="N31:N33" si="16">AVERAGE(D31:H31)</f>
        <v>0</v>
      </c>
      <c r="O31" s="158"/>
      <c r="P31" s="158"/>
      <c r="Q31" s="158"/>
      <c r="R31" s="35"/>
      <c r="S31" s="35"/>
      <c r="T31" s="35"/>
      <c r="U31" s="35"/>
    </row>
    <row r="32" ht="13.5" hidden="1" customHeight="1">
      <c r="A32" s="35"/>
      <c r="B32" s="35"/>
      <c r="C32" s="360" t="s">
        <v>194</v>
      </c>
      <c r="D32" s="374">
        <f t="shared" ref="D32:M32" si="15">D31*D24</f>
        <v>0</v>
      </c>
      <c r="E32" s="374">
        <f t="shared" si="15"/>
        <v>0</v>
      </c>
      <c r="F32" s="374">
        <f t="shared" si="15"/>
        <v>0</v>
      </c>
      <c r="G32" s="374">
        <f t="shared" si="15"/>
        <v>0</v>
      </c>
      <c r="H32" s="374">
        <f t="shared" si="15"/>
        <v>0</v>
      </c>
      <c r="I32" s="374">
        <f t="shared" si="15"/>
        <v>0</v>
      </c>
      <c r="J32" s="374">
        <f t="shared" si="15"/>
        <v>0</v>
      </c>
      <c r="K32" s="374">
        <f t="shared" si="15"/>
        <v>0</v>
      </c>
      <c r="L32" s="374">
        <f t="shared" si="15"/>
        <v>0</v>
      </c>
      <c r="M32" s="374">
        <f t="shared" si="15"/>
        <v>0</v>
      </c>
      <c r="N32" s="367">
        <f t="shared" si="16"/>
        <v>0</v>
      </c>
      <c r="O32" s="35"/>
      <c r="P32" s="158"/>
      <c r="T32" s="35"/>
      <c r="U32" s="35"/>
    </row>
    <row r="33" ht="13.5" hidden="1" customHeight="1">
      <c r="A33" s="35"/>
      <c r="B33" s="35"/>
      <c r="C33" s="360" t="s">
        <v>195</v>
      </c>
      <c r="D33" s="374">
        <f t="shared" ref="D33:M33" si="17">D32*(1+0.05)</f>
        <v>0</v>
      </c>
      <c r="E33" s="374">
        <f t="shared" si="17"/>
        <v>0</v>
      </c>
      <c r="F33" s="374">
        <f t="shared" si="17"/>
        <v>0</v>
      </c>
      <c r="G33" s="374">
        <f t="shared" si="17"/>
        <v>0</v>
      </c>
      <c r="H33" s="374">
        <f t="shared" si="17"/>
        <v>0</v>
      </c>
      <c r="I33" s="374">
        <f t="shared" si="17"/>
        <v>0</v>
      </c>
      <c r="J33" s="374">
        <f t="shared" si="17"/>
        <v>0</v>
      </c>
      <c r="K33" s="374">
        <f t="shared" si="17"/>
        <v>0</v>
      </c>
      <c r="L33" s="374">
        <f t="shared" si="17"/>
        <v>0</v>
      </c>
      <c r="M33" s="374">
        <f t="shared" si="17"/>
        <v>0</v>
      </c>
      <c r="N33" s="367">
        <f t="shared" si="16"/>
        <v>0</v>
      </c>
      <c r="O33" s="35"/>
      <c r="P33" s="35"/>
      <c r="Q33" s="158"/>
      <c r="R33" s="158"/>
      <c r="S33" s="158"/>
      <c r="T33" s="35"/>
      <c r="U33" s="35"/>
    </row>
    <row r="34" ht="13.5" hidden="1" customHeight="1">
      <c r="A34" s="35"/>
      <c r="B34" s="35"/>
      <c r="C34" s="375" t="s">
        <v>196</v>
      </c>
      <c r="D34" s="376">
        <f t="shared" ref="D34:N34" si="18">Iferror(3600/D33,0)</f>
        <v>0</v>
      </c>
      <c r="E34" s="376">
        <f t="shared" si="18"/>
        <v>0</v>
      </c>
      <c r="F34" s="376">
        <f t="shared" si="18"/>
        <v>0</v>
      </c>
      <c r="G34" s="376">
        <f t="shared" si="18"/>
        <v>0</v>
      </c>
      <c r="H34" s="376">
        <f t="shared" si="18"/>
        <v>0</v>
      </c>
      <c r="I34" s="376">
        <f t="shared" si="18"/>
        <v>0</v>
      </c>
      <c r="J34" s="376">
        <f t="shared" si="18"/>
        <v>0</v>
      </c>
      <c r="K34" s="376">
        <f t="shared" si="18"/>
        <v>0</v>
      </c>
      <c r="L34" s="376">
        <f t="shared" si="18"/>
        <v>0</v>
      </c>
      <c r="M34" s="376">
        <f t="shared" si="18"/>
        <v>0</v>
      </c>
      <c r="N34" s="376">
        <f t="shared" si="18"/>
        <v>0</v>
      </c>
      <c r="O34" s="35"/>
      <c r="P34" s="35"/>
      <c r="Q34" s="158"/>
      <c r="R34" s="158"/>
      <c r="S34" s="158"/>
      <c r="T34" s="35"/>
      <c r="U34" s="35"/>
    </row>
    <row r="35" ht="13.5" customHeight="1">
      <c r="A35" s="35"/>
      <c r="B35" s="35"/>
      <c r="C35" s="35"/>
      <c r="D35" s="35"/>
      <c r="E35" s="35"/>
      <c r="F35" s="275"/>
      <c r="G35" s="275"/>
      <c r="H35" s="275"/>
      <c r="I35" s="35"/>
      <c r="J35" s="35"/>
      <c r="K35" s="35"/>
      <c r="L35" s="35"/>
      <c r="M35" s="35"/>
      <c r="N35" s="35"/>
      <c r="O35" s="35"/>
      <c r="P35" s="35"/>
      <c r="Q35" s="35"/>
      <c r="R35" s="35"/>
      <c r="S35" s="35"/>
      <c r="T35" s="35"/>
      <c r="U35" s="35"/>
    </row>
    <row r="36" ht="13.5" customHeight="1">
      <c r="A36" s="35"/>
      <c r="B36" s="35"/>
      <c r="C36" s="377" t="s">
        <v>209</v>
      </c>
      <c r="D36" s="35"/>
      <c r="E36" s="35"/>
      <c r="F36" s="275"/>
      <c r="G36" s="275"/>
      <c r="H36" s="275"/>
      <c r="I36" s="35"/>
      <c r="J36" s="35"/>
      <c r="K36" s="35"/>
      <c r="L36" s="35"/>
      <c r="M36" s="35"/>
      <c r="N36" s="359" t="s">
        <v>163</v>
      </c>
      <c r="O36" s="35"/>
      <c r="P36" s="35"/>
      <c r="Q36" s="35"/>
      <c r="R36" s="35"/>
      <c r="S36" s="35"/>
      <c r="T36" s="35"/>
      <c r="U36" s="35"/>
    </row>
    <row r="37" ht="13.5" customHeight="1">
      <c r="A37" s="35"/>
      <c r="B37" s="35"/>
      <c r="C37" s="360" t="s">
        <v>193</v>
      </c>
      <c r="D37" s="372">
        <f t="shared" ref="D37:M37" si="19">IFERROR((D11/D16)*D19,0)</f>
        <v>0.01069846154</v>
      </c>
      <c r="E37" s="372">
        <f t="shared" si="19"/>
        <v>0.002852</v>
      </c>
      <c r="F37" s="372">
        <f t="shared" si="19"/>
        <v>0.006444666667</v>
      </c>
      <c r="G37" s="372">
        <f t="shared" si="19"/>
        <v>0.012395</v>
      </c>
      <c r="H37" s="372">
        <f t="shared" si="19"/>
        <v>1.736333333</v>
      </c>
      <c r="I37" s="372">
        <f t="shared" si="19"/>
        <v>0.46</v>
      </c>
      <c r="J37" s="372">
        <f t="shared" si="19"/>
        <v>0.6257619048</v>
      </c>
      <c r="K37" s="372">
        <f t="shared" si="19"/>
        <v>2.24</v>
      </c>
      <c r="L37" s="372">
        <f t="shared" si="19"/>
        <v>0.21875</v>
      </c>
      <c r="M37" s="372">
        <f t="shared" si="19"/>
        <v>0.2293125</v>
      </c>
      <c r="N37" s="367">
        <f t="shared" ref="N37:N39" si="21">AVERAGE(D37:M37)</f>
        <v>0.5542547866</v>
      </c>
      <c r="O37" s="158">
        <f>N37*60</f>
        <v>33.2552872</v>
      </c>
      <c r="P37" s="158"/>
      <c r="Q37" s="158"/>
      <c r="R37" s="35"/>
      <c r="S37" s="35"/>
      <c r="T37" s="35"/>
      <c r="U37" s="35"/>
    </row>
    <row r="38" ht="13.5" customHeight="1">
      <c r="A38" s="35"/>
      <c r="B38" s="35"/>
      <c r="C38" s="360" t="s">
        <v>194</v>
      </c>
      <c r="D38" s="374">
        <f t="shared" ref="D38:M38" si="20">D37*D24</f>
        <v>0.01069846154</v>
      </c>
      <c r="E38" s="374">
        <f t="shared" si="20"/>
        <v>0.002852</v>
      </c>
      <c r="F38" s="374">
        <f t="shared" si="20"/>
        <v>0.006444666667</v>
      </c>
      <c r="G38" s="374">
        <f t="shared" si="20"/>
        <v>0.012395</v>
      </c>
      <c r="H38" s="374">
        <f t="shared" si="20"/>
        <v>1.736333333</v>
      </c>
      <c r="I38" s="374">
        <f t="shared" si="20"/>
        <v>0.46</v>
      </c>
      <c r="J38" s="374">
        <f t="shared" si="20"/>
        <v>0.6257619048</v>
      </c>
      <c r="K38" s="374">
        <f t="shared" si="20"/>
        <v>2.24</v>
      </c>
      <c r="L38" s="374">
        <f t="shared" si="20"/>
        <v>0.21875</v>
      </c>
      <c r="M38" s="374">
        <f t="shared" si="20"/>
        <v>0.2293125</v>
      </c>
      <c r="N38" s="367">
        <f t="shared" si="21"/>
        <v>0.5542547866</v>
      </c>
      <c r="O38" s="35"/>
      <c r="P38" s="158"/>
      <c r="T38" s="35"/>
      <c r="U38" s="35"/>
    </row>
    <row r="39" ht="13.5" customHeight="1">
      <c r="A39" s="35"/>
      <c r="B39" s="35"/>
      <c r="C39" s="365" t="s">
        <v>208</v>
      </c>
      <c r="D39" s="374">
        <f t="shared" ref="D39:M39" si="22">D38*(1+0.1)</f>
        <v>0.01176830769</v>
      </c>
      <c r="E39" s="374">
        <f t="shared" si="22"/>
        <v>0.0031372</v>
      </c>
      <c r="F39" s="374">
        <f t="shared" si="22"/>
        <v>0.007089133333</v>
      </c>
      <c r="G39" s="374">
        <f t="shared" si="22"/>
        <v>0.0136345</v>
      </c>
      <c r="H39" s="374">
        <f t="shared" si="22"/>
        <v>1.909966667</v>
      </c>
      <c r="I39" s="374">
        <f t="shared" si="22"/>
        <v>0.506</v>
      </c>
      <c r="J39" s="374">
        <f t="shared" si="22"/>
        <v>0.6883380952</v>
      </c>
      <c r="K39" s="374">
        <f t="shared" si="22"/>
        <v>2.464</v>
      </c>
      <c r="L39" s="374">
        <f t="shared" si="22"/>
        <v>0.240625</v>
      </c>
      <c r="M39" s="374">
        <f t="shared" si="22"/>
        <v>0.25224375</v>
      </c>
      <c r="N39" s="367">
        <f t="shared" si="21"/>
        <v>0.6096802653</v>
      </c>
      <c r="O39" s="35"/>
      <c r="P39" s="35"/>
      <c r="Q39" s="158"/>
      <c r="R39" s="158"/>
      <c r="S39" s="158"/>
      <c r="T39" s="35"/>
      <c r="U39" s="35"/>
    </row>
    <row r="40" ht="13.5" customHeight="1">
      <c r="A40" s="35"/>
      <c r="B40" s="35"/>
      <c r="C40" s="375" t="s">
        <v>196</v>
      </c>
      <c r="D40" s="376">
        <f t="shared" ref="D40:N40" si="23">IFERROR(3600/D39,0)</f>
        <v>305906.3456</v>
      </c>
      <c r="E40" s="376">
        <f t="shared" si="23"/>
        <v>1147520.082</v>
      </c>
      <c r="F40" s="376">
        <f t="shared" si="23"/>
        <v>507819.4796</v>
      </c>
      <c r="G40" s="376">
        <f t="shared" si="23"/>
        <v>264036.0849</v>
      </c>
      <c r="H40" s="376">
        <f t="shared" si="23"/>
        <v>1884.849648</v>
      </c>
      <c r="I40" s="376">
        <f t="shared" si="23"/>
        <v>7114.624506</v>
      </c>
      <c r="J40" s="376">
        <f t="shared" si="23"/>
        <v>5229.988032</v>
      </c>
      <c r="K40" s="376">
        <f t="shared" si="23"/>
        <v>1461.038961</v>
      </c>
      <c r="L40" s="376">
        <f t="shared" si="23"/>
        <v>14961.03896</v>
      </c>
      <c r="M40" s="376">
        <f t="shared" si="23"/>
        <v>14271.90961</v>
      </c>
      <c r="N40" s="376">
        <f t="shared" si="23"/>
        <v>5904.734342</v>
      </c>
      <c r="O40" s="35"/>
      <c r="P40" s="35"/>
      <c r="Q40" s="158"/>
      <c r="R40" s="158"/>
      <c r="S40" s="158"/>
      <c r="T40" s="35"/>
      <c r="U40" s="35"/>
    </row>
    <row r="41" ht="13.5" customHeight="1">
      <c r="A41" s="275"/>
      <c r="B41" s="378"/>
      <c r="C41" s="378"/>
      <c r="D41" s="378"/>
      <c r="E41" s="378"/>
      <c r="F41" s="378"/>
      <c r="G41" s="378"/>
      <c r="H41" s="378"/>
      <c r="I41" s="378"/>
      <c r="J41" s="378"/>
      <c r="K41" s="378"/>
      <c r="L41" s="378"/>
      <c r="M41" s="378"/>
      <c r="N41" s="378"/>
      <c r="O41" s="275"/>
      <c r="P41" s="275"/>
      <c r="Q41" s="275"/>
      <c r="R41" s="275"/>
      <c r="S41" s="275"/>
      <c r="T41" s="275"/>
      <c r="U41" s="275"/>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O21:P21"/>
    <mergeCell ref="P32:S32"/>
    <mergeCell ref="P38:S38"/>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3.57"/>
    <col customWidth="1" min="2" max="2" width="9.57"/>
    <col customWidth="1" min="3" max="3" width="49.71"/>
    <col customWidth="1" min="4" max="13" width="9.86"/>
    <col customWidth="1" min="14" max="14" width="18.0"/>
    <col customWidth="1" min="15" max="15" width="12.29"/>
    <col customWidth="1" min="16" max="16" width="7.0"/>
    <col customWidth="1" min="17" max="17" width="6.57"/>
    <col customWidth="1" min="18" max="18" width="13.0"/>
    <col customWidth="1" min="19" max="19" width="9.86"/>
    <col customWidth="1" min="20" max="20" width="11.86"/>
    <col customWidth="1" min="21" max="21"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row>
    <row r="2" ht="13.5" customHeight="1">
      <c r="A2" s="35"/>
      <c r="B2" s="310" t="s">
        <v>152</v>
      </c>
      <c r="O2" s="35"/>
      <c r="P2" s="35"/>
      <c r="Q2" s="35"/>
      <c r="R2" s="35"/>
      <c r="S2" s="35"/>
      <c r="T2" s="35"/>
      <c r="U2" s="35"/>
    </row>
    <row r="3" ht="13.5" customHeight="1">
      <c r="A3" s="35"/>
      <c r="B3" s="311" t="s">
        <v>153</v>
      </c>
      <c r="C3" s="277"/>
      <c r="D3" s="278"/>
      <c r="E3" s="311" t="s">
        <v>154</v>
      </c>
      <c r="F3" s="277"/>
      <c r="G3" s="278"/>
      <c r="H3" s="311" t="s">
        <v>155</v>
      </c>
      <c r="I3" s="277"/>
      <c r="J3" s="278"/>
      <c r="K3" s="311" t="s">
        <v>156</v>
      </c>
      <c r="L3" s="277"/>
      <c r="M3" s="277"/>
      <c r="N3" s="278"/>
      <c r="O3" s="35"/>
      <c r="P3" s="35"/>
      <c r="Q3" s="35"/>
      <c r="R3" s="35"/>
      <c r="S3" s="35"/>
      <c r="T3" s="35"/>
      <c r="U3" s="35"/>
    </row>
    <row r="4" ht="13.5" customHeight="1">
      <c r="A4" s="35"/>
      <c r="B4" s="312" t="s">
        <v>210</v>
      </c>
      <c r="C4" s="263"/>
      <c r="D4" s="264"/>
      <c r="E4" s="313" t="s">
        <v>158</v>
      </c>
      <c r="F4" s="263"/>
      <c r="G4" s="264"/>
      <c r="H4" s="314"/>
      <c r="I4" s="263"/>
      <c r="J4" s="264"/>
      <c r="K4" s="315"/>
      <c r="L4" s="263"/>
      <c r="M4" s="263"/>
      <c r="N4" s="264"/>
      <c r="O4" s="35"/>
      <c r="P4" s="35"/>
      <c r="Q4" s="35"/>
      <c r="R4" s="35"/>
      <c r="S4" s="35"/>
      <c r="T4" s="35"/>
      <c r="U4" s="35"/>
    </row>
    <row r="5" ht="13.5" customHeight="1">
      <c r="A5" s="35"/>
      <c r="B5" s="284"/>
      <c r="C5" s="316"/>
      <c r="D5" s="317"/>
      <c r="E5" s="284"/>
      <c r="F5" s="316"/>
      <c r="G5" s="317"/>
      <c r="H5" s="284"/>
      <c r="I5" s="316"/>
      <c r="J5" s="317"/>
      <c r="K5" s="284"/>
      <c r="L5" s="316"/>
      <c r="M5" s="316"/>
      <c r="N5" s="317"/>
      <c r="O5" s="35"/>
      <c r="P5" s="35"/>
      <c r="Q5" s="35"/>
      <c r="R5" s="35"/>
      <c r="S5" s="35"/>
      <c r="T5" s="35"/>
      <c r="U5" s="35"/>
    </row>
    <row r="6" ht="13.5" customHeight="1">
      <c r="A6" s="35"/>
      <c r="B6" s="158"/>
      <c r="C6" s="158"/>
      <c r="D6" s="158"/>
      <c r="E6" s="158"/>
      <c r="F6" s="158"/>
      <c r="G6" s="158"/>
      <c r="H6" s="158"/>
      <c r="I6" s="158"/>
      <c r="J6" s="158"/>
      <c r="K6" s="158"/>
      <c r="L6" s="158"/>
      <c r="M6" s="158"/>
      <c r="N6" s="158"/>
      <c r="O6" s="35"/>
      <c r="P6" s="35"/>
      <c r="Q6" s="35"/>
      <c r="R6" s="35"/>
      <c r="S6" s="35"/>
      <c r="T6" s="35"/>
      <c r="U6" s="35"/>
    </row>
    <row r="7" ht="13.5" customHeight="1">
      <c r="A7" s="35"/>
      <c r="B7" s="318" t="s">
        <v>159</v>
      </c>
      <c r="C7" s="319" t="s">
        <v>160</v>
      </c>
      <c r="D7" s="320" t="s">
        <v>161</v>
      </c>
      <c r="E7" s="277"/>
      <c r="F7" s="277"/>
      <c r="G7" s="277"/>
      <c r="H7" s="277"/>
      <c r="I7" s="277"/>
      <c r="J7" s="277"/>
      <c r="K7" s="277"/>
      <c r="L7" s="277"/>
      <c r="M7" s="278"/>
      <c r="N7" s="321" t="s">
        <v>162</v>
      </c>
      <c r="O7" s="158"/>
      <c r="P7" s="322" t="s">
        <v>163</v>
      </c>
      <c r="Q7" s="322" t="s">
        <v>164</v>
      </c>
      <c r="R7" s="323" t="s">
        <v>165</v>
      </c>
      <c r="S7" s="323" t="s">
        <v>166</v>
      </c>
      <c r="T7" s="323" t="s">
        <v>167</v>
      </c>
      <c r="U7" s="35"/>
    </row>
    <row r="8" ht="13.5" customHeight="1">
      <c r="A8" s="35"/>
      <c r="B8" s="199"/>
      <c r="C8" s="199"/>
      <c r="D8" s="324" t="s">
        <v>168</v>
      </c>
      <c r="E8" s="324" t="s">
        <v>169</v>
      </c>
      <c r="F8" s="324" t="s">
        <v>170</v>
      </c>
      <c r="G8" s="324" t="s">
        <v>171</v>
      </c>
      <c r="H8" s="324" t="s">
        <v>172</v>
      </c>
      <c r="I8" s="385" t="s">
        <v>173</v>
      </c>
      <c r="J8" s="385" t="s">
        <v>174</v>
      </c>
      <c r="K8" s="385" t="s">
        <v>175</v>
      </c>
      <c r="L8" s="385" t="s">
        <v>176</v>
      </c>
      <c r="M8" s="385" t="s">
        <v>177</v>
      </c>
      <c r="N8" s="324" t="s">
        <v>178</v>
      </c>
      <c r="O8" s="158"/>
      <c r="P8" s="199"/>
      <c r="Q8" s="199"/>
      <c r="R8" s="199"/>
      <c r="S8" s="199"/>
      <c r="T8" s="199"/>
      <c r="U8" s="35"/>
    </row>
    <row r="9" ht="13.5" customHeight="1">
      <c r="A9" s="158"/>
      <c r="B9" s="325">
        <v>1.0</v>
      </c>
      <c r="C9" s="326" t="s">
        <v>211</v>
      </c>
      <c r="D9" s="327">
        <v>78.02</v>
      </c>
      <c r="E9" s="327">
        <v>21.37</v>
      </c>
      <c r="F9" s="327">
        <v>19.51</v>
      </c>
      <c r="G9" s="386">
        <v>36.02</v>
      </c>
      <c r="H9" s="386">
        <v>26.18</v>
      </c>
      <c r="I9" s="387"/>
      <c r="J9" s="387"/>
      <c r="K9" s="388"/>
      <c r="L9" s="388"/>
      <c r="M9" s="388"/>
      <c r="N9" s="330">
        <f>SUM(D9:H9)</f>
        <v>181.1</v>
      </c>
      <c r="O9" s="158"/>
      <c r="P9" s="328">
        <f t="shared" ref="P9:P11" si="1">AVERAGE(D9:M9)</f>
        <v>36.22</v>
      </c>
      <c r="Q9" s="331">
        <f t="shared" ref="Q9:Q11" si="2">MAX(D9:M9)</f>
        <v>78.02</v>
      </c>
      <c r="R9" s="379">
        <f t="shared" ref="R9:R11" si="3">P9/$P$12</f>
        <v>0.04885905606</v>
      </c>
      <c r="S9" s="333"/>
      <c r="T9" s="333"/>
      <c r="U9" s="158"/>
    </row>
    <row r="10" ht="13.5" customHeight="1">
      <c r="A10" s="158"/>
      <c r="B10" s="325">
        <v>2.0</v>
      </c>
      <c r="C10" s="326" t="s">
        <v>212</v>
      </c>
      <c r="D10" s="327">
        <v>1388.08</v>
      </c>
      <c r="E10" s="327">
        <v>235.26</v>
      </c>
      <c r="F10" s="327">
        <v>225.94</v>
      </c>
      <c r="G10" s="386">
        <v>487.7</v>
      </c>
      <c r="H10" s="386">
        <v>921.6</v>
      </c>
      <c r="I10" s="387"/>
      <c r="J10" s="387"/>
      <c r="K10" s="388"/>
      <c r="L10" s="388"/>
      <c r="M10" s="388"/>
      <c r="N10" s="330"/>
      <c r="O10" s="158"/>
      <c r="P10" s="328">
        <f t="shared" si="1"/>
        <v>651.716</v>
      </c>
      <c r="Q10" s="331">
        <f t="shared" si="2"/>
        <v>1388.08</v>
      </c>
      <c r="R10" s="379">
        <f t="shared" si="3"/>
        <v>0.8791338646</v>
      </c>
      <c r="S10" s="158"/>
      <c r="T10" s="158"/>
      <c r="U10" s="158"/>
    </row>
    <row r="11" ht="13.5" customHeight="1">
      <c r="A11" s="158"/>
      <c r="B11" s="325">
        <v>3.0</v>
      </c>
      <c r="C11" s="326" t="s">
        <v>213</v>
      </c>
      <c r="D11" s="327">
        <v>107.98</v>
      </c>
      <c r="E11" s="327">
        <v>31.64</v>
      </c>
      <c r="F11" s="327">
        <v>29.32</v>
      </c>
      <c r="G11" s="327">
        <v>51.46</v>
      </c>
      <c r="H11" s="327">
        <v>46.5</v>
      </c>
      <c r="I11" s="388"/>
      <c r="J11" s="388"/>
      <c r="K11" s="388"/>
      <c r="L11" s="388"/>
      <c r="M11" s="388"/>
      <c r="N11" s="330"/>
      <c r="O11" s="158"/>
      <c r="P11" s="328">
        <f t="shared" si="1"/>
        <v>53.38</v>
      </c>
      <c r="Q11" s="331">
        <f t="shared" si="2"/>
        <v>107.98</v>
      </c>
      <c r="R11" s="379">
        <f t="shared" si="3"/>
        <v>0.0720070793</v>
      </c>
      <c r="S11" s="158"/>
      <c r="T11" s="158"/>
      <c r="U11" s="158"/>
    </row>
    <row r="12" ht="13.5" customHeight="1">
      <c r="A12" s="35"/>
      <c r="B12" s="334"/>
      <c r="C12" s="335" t="s">
        <v>180</v>
      </c>
      <c r="D12" s="336">
        <f t="shared" ref="D12:M12" si="4">sum(D9:D11)</f>
        <v>1574.08</v>
      </c>
      <c r="E12" s="336">
        <f t="shared" si="4"/>
        <v>288.27</v>
      </c>
      <c r="F12" s="336">
        <f t="shared" si="4"/>
        <v>274.77</v>
      </c>
      <c r="G12" s="336">
        <f t="shared" si="4"/>
        <v>575.18</v>
      </c>
      <c r="H12" s="336">
        <f t="shared" si="4"/>
        <v>994.28</v>
      </c>
      <c r="I12" s="389">
        <f t="shared" si="4"/>
        <v>0</v>
      </c>
      <c r="J12" s="389">
        <f t="shared" si="4"/>
        <v>0</v>
      </c>
      <c r="K12" s="389">
        <f t="shared" si="4"/>
        <v>0</v>
      </c>
      <c r="L12" s="389">
        <f t="shared" si="4"/>
        <v>0</v>
      </c>
      <c r="M12" s="389">
        <f t="shared" si="4"/>
        <v>0</v>
      </c>
      <c r="N12" s="337">
        <f>SUM(D12:H12)</f>
        <v>3706.58</v>
      </c>
      <c r="O12" s="338" t="s">
        <v>10</v>
      </c>
      <c r="P12" s="339">
        <f>SUM(P9:P11)</f>
        <v>741.316</v>
      </c>
      <c r="Q12" s="340">
        <f>MAX(Q9:Q11)</f>
        <v>1388.08</v>
      </c>
      <c r="R12" s="341">
        <f>SUM(R9)</f>
        <v>0.04885905606</v>
      </c>
      <c r="S12" s="35"/>
      <c r="T12" s="35"/>
      <c r="U12" s="35"/>
    </row>
    <row r="13" ht="13.5" customHeight="1">
      <c r="A13" s="35"/>
      <c r="B13" s="35"/>
      <c r="C13" s="335" t="s">
        <v>181</v>
      </c>
      <c r="D13" s="342">
        <f t="shared" ref="D13:N13" si="5">D12/60</f>
        <v>26.23466667</v>
      </c>
      <c r="E13" s="342">
        <f t="shared" si="5"/>
        <v>4.8045</v>
      </c>
      <c r="F13" s="342">
        <f t="shared" si="5"/>
        <v>4.5795</v>
      </c>
      <c r="G13" s="342">
        <f t="shared" si="5"/>
        <v>9.586333333</v>
      </c>
      <c r="H13" s="342">
        <f t="shared" si="5"/>
        <v>16.57133333</v>
      </c>
      <c r="I13" s="390">
        <f t="shared" si="5"/>
        <v>0</v>
      </c>
      <c r="J13" s="390">
        <f t="shared" si="5"/>
        <v>0</v>
      </c>
      <c r="K13" s="390">
        <f t="shared" si="5"/>
        <v>0</v>
      </c>
      <c r="L13" s="390">
        <f t="shared" si="5"/>
        <v>0</v>
      </c>
      <c r="M13" s="390">
        <f t="shared" si="5"/>
        <v>0</v>
      </c>
      <c r="N13" s="343">
        <f t="shared" si="5"/>
        <v>61.77633333</v>
      </c>
      <c r="O13" s="158"/>
      <c r="P13" s="344"/>
      <c r="Q13" s="344"/>
      <c r="R13" s="158"/>
      <c r="S13" s="35"/>
      <c r="T13" s="35"/>
      <c r="U13" s="35"/>
    </row>
    <row r="14" ht="13.5" customHeight="1">
      <c r="A14" s="35"/>
      <c r="B14" s="35"/>
      <c r="C14" s="158"/>
      <c r="D14" s="344"/>
      <c r="E14" s="344"/>
      <c r="F14" s="345"/>
      <c r="G14" s="345"/>
      <c r="H14" s="345"/>
      <c r="I14" s="344"/>
      <c r="J14" s="344"/>
      <c r="K14" s="344"/>
      <c r="L14" s="344"/>
      <c r="M14" s="344"/>
      <c r="N14" s="346" t="s">
        <v>182</v>
      </c>
      <c r="O14" s="158"/>
      <c r="P14" s="344"/>
      <c r="Q14" s="344"/>
      <c r="R14" s="158"/>
      <c r="S14" s="35"/>
      <c r="T14" s="35"/>
      <c r="U14" s="35"/>
    </row>
    <row r="15" ht="13.5" customHeight="1">
      <c r="A15" s="35"/>
      <c r="B15" s="35"/>
      <c r="C15" s="347" t="s">
        <v>183</v>
      </c>
      <c r="D15" s="348">
        <v>3.0</v>
      </c>
      <c r="E15" s="348">
        <v>1.0</v>
      </c>
      <c r="F15" s="348">
        <v>1.0</v>
      </c>
      <c r="G15" s="391">
        <v>2.0</v>
      </c>
      <c r="H15" s="391">
        <v>1.0</v>
      </c>
      <c r="I15" s="392"/>
      <c r="J15" s="392"/>
      <c r="K15" s="393"/>
      <c r="L15" s="393"/>
      <c r="M15" s="393"/>
      <c r="N15" s="158"/>
      <c r="O15" s="158"/>
      <c r="P15" s="158"/>
      <c r="Q15" s="232"/>
      <c r="R15" s="35"/>
      <c r="S15" s="35"/>
      <c r="T15" s="35"/>
      <c r="U15" s="35"/>
    </row>
    <row r="16" ht="13.5" customHeight="1">
      <c r="A16" s="35"/>
      <c r="B16" s="35"/>
      <c r="C16" s="347" t="s">
        <v>214</v>
      </c>
      <c r="D16" s="348">
        <v>1.0</v>
      </c>
      <c r="E16" s="348">
        <v>1.0</v>
      </c>
      <c r="F16" s="348">
        <v>1.0</v>
      </c>
      <c r="G16" s="391">
        <v>3.0</v>
      </c>
      <c r="H16" s="391">
        <v>2.0</v>
      </c>
      <c r="I16" s="392"/>
      <c r="J16" s="392"/>
      <c r="K16" s="393"/>
      <c r="L16" s="393"/>
      <c r="M16" s="393"/>
      <c r="N16" s="158"/>
      <c r="O16" s="158"/>
      <c r="P16" s="158"/>
      <c r="Q16" s="232"/>
      <c r="R16" s="35"/>
      <c r="S16" s="35"/>
      <c r="T16" s="35"/>
      <c r="U16" s="35"/>
    </row>
    <row r="17" ht="13.5" customHeight="1">
      <c r="A17" s="35"/>
      <c r="B17" s="35"/>
      <c r="C17" s="347" t="s">
        <v>185</v>
      </c>
      <c r="D17" s="348">
        <v>14228.0</v>
      </c>
      <c r="E17" s="348">
        <v>10.0</v>
      </c>
      <c r="F17" s="348">
        <v>28.0</v>
      </c>
      <c r="G17" s="391">
        <v>143.0</v>
      </c>
      <c r="H17" s="391">
        <v>4650.0</v>
      </c>
      <c r="I17" s="392"/>
      <c r="J17" s="392"/>
      <c r="K17" s="393"/>
      <c r="L17" s="393"/>
      <c r="M17" s="393"/>
      <c r="N17" s="351">
        <f>AVERAGE(D17:H17)</f>
        <v>3811.8</v>
      </c>
      <c r="O17" s="158"/>
      <c r="P17" s="158"/>
      <c r="Q17" s="232"/>
      <c r="R17" s="35"/>
      <c r="S17" s="35"/>
      <c r="T17" s="35"/>
      <c r="U17" s="35"/>
    </row>
    <row r="18" ht="13.5" customHeight="1">
      <c r="A18" s="35"/>
      <c r="B18" s="35"/>
      <c r="C18" s="352" t="s">
        <v>204</v>
      </c>
      <c r="D18" s="353" t="s">
        <v>205</v>
      </c>
      <c r="E18" s="353" t="s">
        <v>205</v>
      </c>
      <c r="F18" s="353" t="s">
        <v>205</v>
      </c>
      <c r="G18" s="353" t="s">
        <v>205</v>
      </c>
      <c r="H18" s="353" t="s">
        <v>205</v>
      </c>
      <c r="I18" s="394"/>
      <c r="J18" s="394"/>
      <c r="K18" s="394"/>
      <c r="L18" s="394"/>
      <c r="M18" s="394"/>
      <c r="N18" s="158"/>
      <c r="O18" s="158"/>
      <c r="P18" s="158"/>
      <c r="Q18" s="232"/>
      <c r="R18" s="35"/>
      <c r="S18" s="35"/>
      <c r="T18" s="35"/>
      <c r="U18" s="35"/>
    </row>
    <row r="19" ht="13.5" hidden="1" customHeight="1">
      <c r="A19" s="35"/>
      <c r="B19" s="35"/>
      <c r="C19" s="347" t="s">
        <v>187</v>
      </c>
      <c r="D19" s="353" t="s">
        <v>188</v>
      </c>
      <c r="E19" s="353"/>
      <c r="F19" s="353"/>
      <c r="G19" s="353"/>
      <c r="H19" s="353"/>
      <c r="I19" s="393"/>
      <c r="J19" s="393"/>
      <c r="K19" s="393"/>
      <c r="L19" s="393"/>
      <c r="M19" s="393"/>
      <c r="N19" s="158"/>
      <c r="O19" s="158"/>
      <c r="P19" s="158"/>
      <c r="Q19" s="232"/>
      <c r="R19" s="35"/>
      <c r="S19" s="35"/>
      <c r="T19" s="35"/>
      <c r="U19" s="35"/>
    </row>
    <row r="20" ht="13.5" customHeight="1">
      <c r="A20" s="35"/>
      <c r="B20" s="35"/>
      <c r="C20" s="347" t="s">
        <v>189</v>
      </c>
      <c r="D20" s="354">
        <v>1.0</v>
      </c>
      <c r="E20" s="354">
        <v>1.0</v>
      </c>
      <c r="F20" s="354">
        <v>1.0</v>
      </c>
      <c r="G20" s="354">
        <v>1.0</v>
      </c>
      <c r="H20" s="354">
        <v>1.0</v>
      </c>
      <c r="I20" s="395"/>
      <c r="J20" s="395"/>
      <c r="K20" s="395"/>
      <c r="L20" s="395"/>
      <c r="M20" s="395"/>
      <c r="N20" s="158"/>
      <c r="O20" s="158"/>
      <c r="P20" s="158"/>
      <c r="Q20" s="232"/>
      <c r="R20" s="35"/>
      <c r="S20" s="35"/>
      <c r="T20" s="35"/>
      <c r="U20" s="35"/>
    </row>
    <row r="21" ht="13.5" customHeight="1">
      <c r="A21" s="35"/>
      <c r="B21" s="35"/>
      <c r="C21" s="347" t="s">
        <v>190</v>
      </c>
      <c r="D21" s="355">
        <v>45661.0</v>
      </c>
      <c r="E21" s="355">
        <v>45661.0</v>
      </c>
      <c r="F21" s="355">
        <v>45661.0</v>
      </c>
      <c r="G21" s="355">
        <v>45672.0</v>
      </c>
      <c r="H21" s="355">
        <v>45672.0</v>
      </c>
      <c r="I21" s="396"/>
      <c r="J21" s="396"/>
      <c r="K21" s="396"/>
      <c r="L21" s="396"/>
      <c r="M21" s="396"/>
      <c r="N21" s="158"/>
      <c r="O21" s="158"/>
      <c r="P21" s="158"/>
      <c r="Q21" s="232"/>
      <c r="R21" s="35"/>
      <c r="S21" s="35"/>
      <c r="T21" s="35"/>
      <c r="U21" s="35"/>
    </row>
    <row r="22" ht="13.5" customHeight="1">
      <c r="A22" s="35"/>
      <c r="B22" s="35"/>
      <c r="C22" s="35"/>
      <c r="D22" s="35"/>
      <c r="E22" s="35"/>
      <c r="F22" s="275"/>
      <c r="G22" s="275"/>
      <c r="H22" s="275"/>
      <c r="I22" s="35"/>
      <c r="J22" s="35"/>
      <c r="K22" s="35"/>
      <c r="L22" s="35"/>
      <c r="M22" s="35"/>
      <c r="N22" s="35"/>
      <c r="O22" s="35"/>
      <c r="Q22" s="35"/>
      <c r="R22" s="35"/>
      <c r="S22" s="35"/>
      <c r="T22" s="35"/>
      <c r="U22" s="35"/>
    </row>
    <row r="23" ht="13.5" customHeight="1">
      <c r="A23" s="35"/>
      <c r="B23" s="35"/>
      <c r="C23" s="35"/>
      <c r="D23" s="35"/>
      <c r="E23" s="35"/>
      <c r="F23" s="275"/>
      <c r="G23" s="275"/>
      <c r="H23" s="275"/>
      <c r="I23" s="35"/>
      <c r="J23" s="35"/>
      <c r="K23" s="35"/>
      <c r="L23" s="35"/>
      <c r="M23" s="35"/>
      <c r="N23" s="35"/>
      <c r="O23" s="35"/>
      <c r="P23" s="35"/>
      <c r="Q23" s="35"/>
      <c r="R23" s="35"/>
      <c r="S23" s="35"/>
      <c r="T23" s="35"/>
      <c r="U23" s="35"/>
    </row>
    <row r="24" ht="13.5" customHeight="1">
      <c r="A24" s="35"/>
      <c r="B24" s="35"/>
      <c r="C24" s="356" t="s">
        <v>191</v>
      </c>
      <c r="D24" s="357"/>
      <c r="E24" s="357"/>
      <c r="F24" s="358"/>
      <c r="G24" s="358"/>
      <c r="H24" s="358"/>
      <c r="I24" s="357"/>
      <c r="J24" s="357"/>
      <c r="K24" s="357"/>
      <c r="L24" s="357"/>
      <c r="M24" s="357"/>
      <c r="N24" s="359" t="s">
        <v>163</v>
      </c>
      <c r="O24" s="35"/>
      <c r="P24" s="35"/>
      <c r="Q24" s="35"/>
      <c r="R24" s="35"/>
      <c r="S24" s="35"/>
      <c r="T24" s="35"/>
      <c r="U24" s="35"/>
    </row>
    <row r="25" ht="13.5" customHeight="1">
      <c r="A25" s="35"/>
      <c r="B25" s="35"/>
      <c r="C25" s="360" t="s">
        <v>192</v>
      </c>
      <c r="D25" s="361">
        <v>1.0</v>
      </c>
      <c r="E25" s="361">
        <v>0.6</v>
      </c>
      <c r="F25" s="362">
        <v>0.7</v>
      </c>
      <c r="G25" s="362">
        <v>0.7</v>
      </c>
      <c r="H25" s="362">
        <v>0.7</v>
      </c>
      <c r="I25" s="397">
        <v>0.7</v>
      </c>
      <c r="J25" s="397">
        <v>0.7</v>
      </c>
      <c r="K25" s="397">
        <v>1.0</v>
      </c>
      <c r="L25" s="397">
        <v>1.0</v>
      </c>
      <c r="M25" s="398">
        <v>1.0</v>
      </c>
      <c r="N25" s="364"/>
      <c r="O25" s="35"/>
      <c r="P25" s="35"/>
      <c r="Q25" s="35"/>
      <c r="R25" s="35"/>
      <c r="S25" s="35"/>
      <c r="T25" s="35"/>
      <c r="U25" s="35"/>
    </row>
    <row r="26" ht="13.5" customHeight="1">
      <c r="A26" s="35"/>
      <c r="B26" s="39"/>
      <c r="C26" s="365" t="s">
        <v>193</v>
      </c>
      <c r="D26" s="366">
        <f t="shared" ref="D26:M26" si="6">IFERROR((D12/D15)*D20,0)</f>
        <v>524.6933333</v>
      </c>
      <c r="E26" s="366">
        <f t="shared" si="6"/>
        <v>288.27</v>
      </c>
      <c r="F26" s="366">
        <f t="shared" si="6"/>
        <v>274.77</v>
      </c>
      <c r="G26" s="366">
        <f t="shared" si="6"/>
        <v>287.59</v>
      </c>
      <c r="H26" s="366">
        <f t="shared" si="6"/>
        <v>994.28</v>
      </c>
      <c r="I26" s="399">
        <f t="shared" si="6"/>
        <v>0</v>
      </c>
      <c r="J26" s="399">
        <f t="shared" si="6"/>
        <v>0</v>
      </c>
      <c r="K26" s="399">
        <f t="shared" si="6"/>
        <v>0</v>
      </c>
      <c r="L26" s="399">
        <f t="shared" si="6"/>
        <v>0</v>
      </c>
      <c r="M26" s="399">
        <f t="shared" si="6"/>
        <v>0</v>
      </c>
      <c r="N26" s="367">
        <f t="shared" ref="N26:N28" si="8">AVERAGE(D26:H26)</f>
        <v>473.9206667</v>
      </c>
      <c r="O26" s="35"/>
      <c r="P26" s="35"/>
      <c r="Q26" s="35"/>
      <c r="R26" s="35"/>
      <c r="S26" s="35"/>
      <c r="T26" s="35"/>
      <c r="U26" s="35"/>
    </row>
    <row r="27" ht="13.5" customHeight="1">
      <c r="A27" s="35"/>
      <c r="B27" s="39"/>
      <c r="C27" s="365" t="s">
        <v>194</v>
      </c>
      <c r="D27" s="368">
        <f t="shared" ref="D27:M27" si="7">D25*D26</f>
        <v>524.6933333</v>
      </c>
      <c r="E27" s="368">
        <f t="shared" si="7"/>
        <v>172.962</v>
      </c>
      <c r="F27" s="368">
        <f t="shared" si="7"/>
        <v>192.339</v>
      </c>
      <c r="G27" s="368">
        <f t="shared" si="7"/>
        <v>201.313</v>
      </c>
      <c r="H27" s="368">
        <f t="shared" si="7"/>
        <v>695.996</v>
      </c>
      <c r="I27" s="400">
        <f t="shared" si="7"/>
        <v>0</v>
      </c>
      <c r="J27" s="400">
        <f t="shared" si="7"/>
        <v>0</v>
      </c>
      <c r="K27" s="400">
        <f t="shared" si="7"/>
        <v>0</v>
      </c>
      <c r="L27" s="400">
        <f t="shared" si="7"/>
        <v>0</v>
      </c>
      <c r="M27" s="400">
        <f t="shared" si="7"/>
        <v>0</v>
      </c>
      <c r="N27" s="367">
        <f t="shared" si="8"/>
        <v>357.4606667</v>
      </c>
      <c r="O27" s="35"/>
      <c r="P27" s="35"/>
      <c r="Q27" s="35"/>
      <c r="R27" s="35"/>
      <c r="S27" s="35"/>
      <c r="T27" s="35"/>
      <c r="U27" s="35"/>
    </row>
    <row r="28" ht="13.5" customHeight="1">
      <c r="A28" s="35"/>
      <c r="B28" s="39"/>
      <c r="C28" s="365" t="s">
        <v>195</v>
      </c>
      <c r="D28" s="368">
        <f t="shared" ref="D28:M28" si="9">D27*(1+0.05)</f>
        <v>550.928</v>
      </c>
      <c r="E28" s="368">
        <f t="shared" si="9"/>
        <v>181.6101</v>
      </c>
      <c r="F28" s="368">
        <f t="shared" si="9"/>
        <v>201.95595</v>
      </c>
      <c r="G28" s="368">
        <f t="shared" si="9"/>
        <v>211.37865</v>
      </c>
      <c r="H28" s="368">
        <f t="shared" si="9"/>
        <v>730.7958</v>
      </c>
      <c r="I28" s="400">
        <f t="shared" si="9"/>
        <v>0</v>
      </c>
      <c r="J28" s="400">
        <f t="shared" si="9"/>
        <v>0</v>
      </c>
      <c r="K28" s="400">
        <f t="shared" si="9"/>
        <v>0</v>
      </c>
      <c r="L28" s="400">
        <f t="shared" si="9"/>
        <v>0</v>
      </c>
      <c r="M28" s="400">
        <f t="shared" si="9"/>
        <v>0</v>
      </c>
      <c r="N28" s="367">
        <f t="shared" si="8"/>
        <v>375.3337</v>
      </c>
      <c r="O28" s="35"/>
      <c r="P28" s="35"/>
      <c r="Q28" s="35"/>
      <c r="R28" s="35"/>
      <c r="S28" s="35"/>
      <c r="T28" s="35"/>
      <c r="U28" s="35"/>
    </row>
    <row r="29" ht="13.5" customHeight="1">
      <c r="A29" s="35"/>
      <c r="B29" s="39"/>
      <c r="C29" s="369" t="s">
        <v>196</v>
      </c>
      <c r="D29" s="370">
        <f t="shared" ref="D29:M29" si="10">Iferror(3600/D28,0)</f>
        <v>6.534429181</v>
      </c>
      <c r="E29" s="370">
        <f t="shared" si="10"/>
        <v>19.82268607</v>
      </c>
      <c r="F29" s="370">
        <f t="shared" si="10"/>
        <v>17.82566941</v>
      </c>
      <c r="G29" s="370">
        <f t="shared" si="10"/>
        <v>17.03104831</v>
      </c>
      <c r="H29" s="370">
        <f t="shared" si="10"/>
        <v>4.926136686</v>
      </c>
      <c r="I29" s="401">
        <f t="shared" si="10"/>
        <v>0</v>
      </c>
      <c r="J29" s="401">
        <f t="shared" si="10"/>
        <v>0</v>
      </c>
      <c r="K29" s="401">
        <f t="shared" si="10"/>
        <v>0</v>
      </c>
      <c r="L29" s="401">
        <f t="shared" si="10"/>
        <v>0</v>
      </c>
      <c r="M29" s="401">
        <f t="shared" si="10"/>
        <v>0</v>
      </c>
      <c r="N29" s="370">
        <f>IFerror(3600/N28,0)</f>
        <v>9.591464875</v>
      </c>
      <c r="O29" s="371"/>
      <c r="P29" s="35"/>
      <c r="Q29" s="35"/>
      <c r="R29" s="35"/>
      <c r="S29" s="35"/>
      <c r="T29" s="35"/>
      <c r="U29" s="35"/>
    </row>
    <row r="30" ht="13.5" customHeight="1">
      <c r="A30" s="35"/>
      <c r="B30" s="35"/>
      <c r="C30" s="275"/>
      <c r="D30" s="35"/>
      <c r="E30" s="35"/>
      <c r="F30" s="275"/>
      <c r="G30" s="275"/>
      <c r="H30" s="275"/>
      <c r="I30" s="35"/>
      <c r="J30" s="35"/>
      <c r="K30" s="35"/>
      <c r="L30" s="35"/>
      <c r="M30" s="35"/>
      <c r="N30" s="35"/>
      <c r="O30" s="35"/>
      <c r="P30" s="35"/>
      <c r="Q30" s="35"/>
      <c r="R30" s="35"/>
      <c r="S30" s="35"/>
      <c r="T30" s="35"/>
      <c r="U30" s="35"/>
    </row>
    <row r="31" ht="13.5" customHeight="1">
      <c r="A31" s="35"/>
      <c r="B31" s="35"/>
      <c r="C31" s="356" t="s">
        <v>215</v>
      </c>
      <c r="D31" s="35"/>
      <c r="E31" s="35"/>
      <c r="F31" s="275"/>
      <c r="G31" s="275"/>
      <c r="H31" s="275"/>
      <c r="I31" s="35"/>
      <c r="J31" s="35"/>
      <c r="K31" s="35"/>
      <c r="L31" s="35"/>
      <c r="M31" s="35"/>
      <c r="N31" s="359" t="s">
        <v>163</v>
      </c>
      <c r="O31" s="35"/>
      <c r="P31" s="35"/>
      <c r="Q31" s="35"/>
      <c r="R31" s="35"/>
      <c r="S31" s="35"/>
      <c r="T31" s="35"/>
      <c r="U31" s="35"/>
    </row>
    <row r="32" ht="13.5" customHeight="1">
      <c r="A32" s="35"/>
      <c r="B32" s="35"/>
      <c r="C32" s="360" t="s">
        <v>193</v>
      </c>
      <c r="D32" s="372">
        <f t="shared" ref="D32:M32" si="11">IFERROR((D12/D16)*D20,0)</f>
        <v>1574.08</v>
      </c>
      <c r="E32" s="372">
        <f t="shared" si="11"/>
        <v>288.27</v>
      </c>
      <c r="F32" s="372">
        <f t="shared" si="11"/>
        <v>274.77</v>
      </c>
      <c r="G32" s="372">
        <f t="shared" si="11"/>
        <v>191.7266667</v>
      </c>
      <c r="H32" s="372">
        <f t="shared" si="11"/>
        <v>497.14</v>
      </c>
      <c r="I32" s="402">
        <f t="shared" si="11"/>
        <v>0</v>
      </c>
      <c r="J32" s="402">
        <f t="shared" si="11"/>
        <v>0</v>
      </c>
      <c r="K32" s="402">
        <f t="shared" si="11"/>
        <v>0</v>
      </c>
      <c r="L32" s="402">
        <f t="shared" si="11"/>
        <v>0</v>
      </c>
      <c r="M32" s="403">
        <f t="shared" si="11"/>
        <v>0</v>
      </c>
      <c r="N32" s="367">
        <f t="shared" ref="N32:N34" si="13">AVERAGE(D32:H32)</f>
        <v>565.1973333</v>
      </c>
      <c r="O32" s="158"/>
      <c r="P32" s="158"/>
      <c r="Q32" s="158"/>
      <c r="R32" s="35"/>
      <c r="S32" s="35"/>
      <c r="T32" s="35"/>
      <c r="U32" s="35"/>
    </row>
    <row r="33" ht="13.5" customHeight="1">
      <c r="A33" s="35"/>
      <c r="B33" s="35"/>
      <c r="C33" s="360" t="s">
        <v>194</v>
      </c>
      <c r="D33" s="374">
        <f t="shared" ref="D33:M33" si="12">D32*D25</f>
        <v>1574.08</v>
      </c>
      <c r="E33" s="374">
        <f t="shared" si="12"/>
        <v>172.962</v>
      </c>
      <c r="F33" s="374">
        <f t="shared" si="12"/>
        <v>192.339</v>
      </c>
      <c r="G33" s="374">
        <f t="shared" si="12"/>
        <v>134.2086667</v>
      </c>
      <c r="H33" s="374">
        <f t="shared" si="12"/>
        <v>347.998</v>
      </c>
      <c r="I33" s="404">
        <f t="shared" si="12"/>
        <v>0</v>
      </c>
      <c r="J33" s="404">
        <f t="shared" si="12"/>
        <v>0</v>
      </c>
      <c r="K33" s="404">
        <f t="shared" si="12"/>
        <v>0</v>
      </c>
      <c r="L33" s="404">
        <f t="shared" si="12"/>
        <v>0</v>
      </c>
      <c r="M33" s="404">
        <f t="shared" si="12"/>
        <v>0</v>
      </c>
      <c r="N33" s="367">
        <f t="shared" si="13"/>
        <v>484.3175333</v>
      </c>
      <c r="O33" s="35"/>
      <c r="P33" s="158"/>
      <c r="T33" s="35"/>
      <c r="U33" s="35"/>
    </row>
    <row r="34" ht="13.5" customHeight="1">
      <c r="A34" s="35"/>
      <c r="B34" s="35"/>
      <c r="C34" s="360" t="s">
        <v>195</v>
      </c>
      <c r="D34" s="374">
        <f t="shared" ref="D34:M34" si="14">D33*(1+0.05)</f>
        <v>1652.784</v>
      </c>
      <c r="E34" s="374">
        <f t="shared" si="14"/>
        <v>181.6101</v>
      </c>
      <c r="F34" s="374">
        <f t="shared" si="14"/>
        <v>201.95595</v>
      </c>
      <c r="G34" s="374">
        <f t="shared" si="14"/>
        <v>140.9191</v>
      </c>
      <c r="H34" s="374">
        <f t="shared" si="14"/>
        <v>365.3979</v>
      </c>
      <c r="I34" s="404">
        <f t="shared" si="14"/>
        <v>0</v>
      </c>
      <c r="J34" s="404">
        <f t="shared" si="14"/>
        <v>0</v>
      </c>
      <c r="K34" s="404">
        <f t="shared" si="14"/>
        <v>0</v>
      </c>
      <c r="L34" s="404">
        <f t="shared" si="14"/>
        <v>0</v>
      </c>
      <c r="M34" s="404">
        <f t="shared" si="14"/>
        <v>0</v>
      </c>
      <c r="N34" s="367">
        <f t="shared" si="13"/>
        <v>508.53341</v>
      </c>
      <c r="O34" s="35"/>
      <c r="P34" s="35"/>
      <c r="Q34" s="158"/>
      <c r="R34" s="158"/>
      <c r="S34" s="158"/>
      <c r="T34" s="35"/>
      <c r="U34" s="35"/>
    </row>
    <row r="35" ht="13.5" customHeight="1">
      <c r="A35" s="35"/>
      <c r="B35" s="35"/>
      <c r="C35" s="375" t="s">
        <v>196</v>
      </c>
      <c r="D35" s="376">
        <f t="shared" ref="D35:N35" si="15">Iferror(3600/D34,0)</f>
        <v>2.17814306</v>
      </c>
      <c r="E35" s="376">
        <f t="shared" si="15"/>
        <v>19.82268607</v>
      </c>
      <c r="F35" s="376">
        <f t="shared" si="15"/>
        <v>17.82566941</v>
      </c>
      <c r="G35" s="376">
        <f t="shared" si="15"/>
        <v>25.54657247</v>
      </c>
      <c r="H35" s="376">
        <f t="shared" si="15"/>
        <v>9.852273371</v>
      </c>
      <c r="I35" s="405">
        <f t="shared" si="15"/>
        <v>0</v>
      </c>
      <c r="J35" s="405">
        <f t="shared" si="15"/>
        <v>0</v>
      </c>
      <c r="K35" s="405">
        <f t="shared" si="15"/>
        <v>0</v>
      </c>
      <c r="L35" s="405">
        <f t="shared" si="15"/>
        <v>0</v>
      </c>
      <c r="M35" s="405">
        <f t="shared" si="15"/>
        <v>0</v>
      </c>
      <c r="N35" s="376">
        <f t="shared" si="15"/>
        <v>7.079180894</v>
      </c>
      <c r="O35" s="35"/>
      <c r="P35" s="35"/>
      <c r="Q35" s="158"/>
      <c r="R35" s="158"/>
      <c r="S35" s="158"/>
      <c r="T35" s="35"/>
      <c r="U35" s="35"/>
    </row>
    <row r="36" ht="13.5" customHeight="1">
      <c r="A36" s="35"/>
      <c r="B36" s="35"/>
      <c r="C36" s="35"/>
      <c r="D36" s="35"/>
      <c r="E36" s="35"/>
      <c r="F36" s="275"/>
      <c r="G36" s="275"/>
      <c r="H36" s="275"/>
      <c r="I36" s="35"/>
      <c r="J36" s="35"/>
      <c r="K36" s="35"/>
      <c r="L36" s="35"/>
      <c r="M36" s="35"/>
      <c r="N36" s="35"/>
      <c r="O36" s="35"/>
      <c r="P36" s="35"/>
      <c r="Q36" s="35"/>
      <c r="R36" s="35"/>
      <c r="S36" s="35"/>
      <c r="T36" s="35"/>
      <c r="U36" s="35"/>
    </row>
    <row r="37" ht="13.5" customHeight="1">
      <c r="A37" s="35"/>
      <c r="B37" s="35"/>
      <c r="C37" s="377" t="s">
        <v>198</v>
      </c>
      <c r="D37" s="35"/>
      <c r="E37" s="35"/>
      <c r="F37" s="275"/>
      <c r="G37" s="275"/>
      <c r="H37" s="275"/>
      <c r="I37" s="35"/>
      <c r="J37" s="35"/>
      <c r="K37" s="35"/>
      <c r="L37" s="35"/>
      <c r="M37" s="35"/>
      <c r="N37" s="359" t="s">
        <v>163</v>
      </c>
      <c r="O37" s="35"/>
      <c r="P37" s="35"/>
      <c r="Q37" s="35"/>
      <c r="R37" s="35"/>
      <c r="S37" s="35"/>
      <c r="T37" s="35"/>
      <c r="U37" s="35"/>
    </row>
    <row r="38" ht="13.5" customHeight="1">
      <c r="A38" s="35"/>
      <c r="B38" s="35"/>
      <c r="C38" s="360" t="s">
        <v>193</v>
      </c>
      <c r="D38" s="372">
        <f t="shared" ref="D38:M38" si="16">IFERROR((D12/D17)*D20,0)</f>
        <v>0.1106325555</v>
      </c>
      <c r="E38" s="372">
        <f t="shared" si="16"/>
        <v>28.827</v>
      </c>
      <c r="F38" s="372">
        <f t="shared" si="16"/>
        <v>9.813214286</v>
      </c>
      <c r="G38" s="372">
        <f t="shared" si="16"/>
        <v>4.022237762</v>
      </c>
      <c r="H38" s="372">
        <f t="shared" si="16"/>
        <v>0.2138236559</v>
      </c>
      <c r="I38" s="402">
        <f t="shared" si="16"/>
        <v>0</v>
      </c>
      <c r="J38" s="402">
        <f t="shared" si="16"/>
        <v>0</v>
      </c>
      <c r="K38" s="402">
        <f t="shared" si="16"/>
        <v>0</v>
      </c>
      <c r="L38" s="402">
        <f t="shared" si="16"/>
        <v>0</v>
      </c>
      <c r="M38" s="402">
        <f t="shared" si="16"/>
        <v>0</v>
      </c>
      <c r="N38" s="367">
        <f t="shared" ref="N38:N40" si="18">AVERAGE(D38:H38)</f>
        <v>8.597381652</v>
      </c>
      <c r="O38" s="158"/>
      <c r="P38" s="158"/>
      <c r="Q38" s="158"/>
      <c r="R38" s="35"/>
      <c r="S38" s="35"/>
      <c r="T38" s="35"/>
      <c r="U38" s="35"/>
    </row>
    <row r="39" ht="13.5" customHeight="1">
      <c r="A39" s="35"/>
      <c r="B39" s="35"/>
      <c r="C39" s="360" t="s">
        <v>194</v>
      </c>
      <c r="D39" s="374">
        <f t="shared" ref="D39:M39" si="17">D38*D25</f>
        <v>0.1106325555</v>
      </c>
      <c r="E39" s="374">
        <f t="shared" si="17"/>
        <v>17.2962</v>
      </c>
      <c r="F39" s="374">
        <f t="shared" si="17"/>
        <v>6.86925</v>
      </c>
      <c r="G39" s="374">
        <f t="shared" si="17"/>
        <v>2.815566434</v>
      </c>
      <c r="H39" s="374">
        <f t="shared" si="17"/>
        <v>0.1496765591</v>
      </c>
      <c r="I39" s="404">
        <f t="shared" si="17"/>
        <v>0</v>
      </c>
      <c r="J39" s="404">
        <f t="shared" si="17"/>
        <v>0</v>
      </c>
      <c r="K39" s="404">
        <f t="shared" si="17"/>
        <v>0</v>
      </c>
      <c r="L39" s="404">
        <f t="shared" si="17"/>
        <v>0</v>
      </c>
      <c r="M39" s="404">
        <f t="shared" si="17"/>
        <v>0</v>
      </c>
      <c r="N39" s="367">
        <f t="shared" si="18"/>
        <v>5.44826511</v>
      </c>
      <c r="O39" s="35"/>
      <c r="P39" s="158"/>
      <c r="T39" s="35"/>
      <c r="U39" s="35"/>
    </row>
    <row r="40" ht="13.5" customHeight="1">
      <c r="A40" s="35"/>
      <c r="B40" s="35"/>
      <c r="C40" s="360" t="s">
        <v>195</v>
      </c>
      <c r="D40" s="374">
        <f t="shared" ref="D40:M40" si="19">D39*(1+0.05)</f>
        <v>0.1161641833</v>
      </c>
      <c r="E40" s="374">
        <f t="shared" si="19"/>
        <v>18.16101</v>
      </c>
      <c r="F40" s="374">
        <f t="shared" si="19"/>
        <v>7.2127125</v>
      </c>
      <c r="G40" s="374">
        <f t="shared" si="19"/>
        <v>2.956344755</v>
      </c>
      <c r="H40" s="374">
        <f t="shared" si="19"/>
        <v>0.1571603871</v>
      </c>
      <c r="I40" s="404">
        <f t="shared" si="19"/>
        <v>0</v>
      </c>
      <c r="J40" s="404">
        <f t="shared" si="19"/>
        <v>0</v>
      </c>
      <c r="K40" s="404">
        <f t="shared" si="19"/>
        <v>0</v>
      </c>
      <c r="L40" s="404">
        <f t="shared" si="19"/>
        <v>0</v>
      </c>
      <c r="M40" s="404">
        <f t="shared" si="19"/>
        <v>0</v>
      </c>
      <c r="N40" s="367">
        <f t="shared" si="18"/>
        <v>5.720678365</v>
      </c>
      <c r="O40" s="35"/>
      <c r="P40" s="35"/>
      <c r="Q40" s="158"/>
      <c r="R40" s="158"/>
      <c r="S40" s="158"/>
      <c r="T40" s="35"/>
      <c r="U40" s="35"/>
    </row>
    <row r="41" ht="13.5" customHeight="1">
      <c r="A41" s="35"/>
      <c r="B41" s="35"/>
      <c r="C41" s="375" t="s">
        <v>196</v>
      </c>
      <c r="D41" s="376">
        <f t="shared" ref="D41:N41" si="20">IFERROR(3600/D40,0)</f>
        <v>30990.61946</v>
      </c>
      <c r="E41" s="376">
        <f t="shared" si="20"/>
        <v>198.2268607</v>
      </c>
      <c r="F41" s="376">
        <f t="shared" si="20"/>
        <v>499.1187435</v>
      </c>
      <c r="G41" s="376">
        <f t="shared" si="20"/>
        <v>1217.719954</v>
      </c>
      <c r="H41" s="376">
        <f t="shared" si="20"/>
        <v>22906.53559</v>
      </c>
      <c r="I41" s="405">
        <f t="shared" si="20"/>
        <v>0</v>
      </c>
      <c r="J41" s="405">
        <f t="shared" si="20"/>
        <v>0</v>
      </c>
      <c r="K41" s="405">
        <f t="shared" si="20"/>
        <v>0</v>
      </c>
      <c r="L41" s="405">
        <f t="shared" si="20"/>
        <v>0</v>
      </c>
      <c r="M41" s="405">
        <f t="shared" si="20"/>
        <v>0</v>
      </c>
      <c r="N41" s="376">
        <f t="shared" si="20"/>
        <v>629.2959978</v>
      </c>
      <c r="O41" s="35"/>
      <c r="P41" s="35"/>
      <c r="Q41" s="158"/>
      <c r="R41" s="158"/>
      <c r="S41" s="158"/>
      <c r="T41" s="35"/>
      <c r="U41" s="35"/>
    </row>
    <row r="42" ht="13.5" customHeight="1">
      <c r="A42" s="275"/>
      <c r="B42" s="378"/>
      <c r="C42" s="378"/>
      <c r="D42" s="378"/>
      <c r="E42" s="378"/>
      <c r="F42" s="378"/>
      <c r="G42" s="378"/>
      <c r="H42" s="378"/>
      <c r="I42" s="378"/>
      <c r="J42" s="378"/>
      <c r="K42" s="378"/>
      <c r="L42" s="378"/>
      <c r="M42" s="378"/>
      <c r="N42" s="378"/>
      <c r="O42" s="275"/>
      <c r="P42" s="275"/>
      <c r="Q42" s="275"/>
      <c r="R42" s="275"/>
      <c r="S42" s="275"/>
      <c r="T42" s="275"/>
      <c r="U42" s="275"/>
    </row>
    <row r="43" ht="13.5" customHeight="1">
      <c r="A43" s="35"/>
      <c r="B43" s="35"/>
      <c r="C43" s="35"/>
      <c r="D43" s="35"/>
      <c r="E43" s="35"/>
      <c r="F43" s="35"/>
      <c r="G43" s="35"/>
      <c r="H43" s="35"/>
      <c r="I43" s="35"/>
      <c r="J43" s="35"/>
      <c r="K43" s="35"/>
      <c r="L43" s="35"/>
      <c r="M43" s="35"/>
      <c r="N43" s="35"/>
      <c r="O43" s="35"/>
      <c r="P43" s="35"/>
      <c r="Q43" s="35"/>
      <c r="R43" s="35"/>
      <c r="S43" s="35"/>
      <c r="T43" s="35"/>
      <c r="U43" s="35"/>
    </row>
    <row r="44" ht="13.5" customHeight="1">
      <c r="A44" s="35"/>
      <c r="B44" s="310" t="s">
        <v>152</v>
      </c>
      <c r="O44" s="35"/>
      <c r="P44" s="35"/>
      <c r="Q44" s="35"/>
      <c r="R44" s="35"/>
      <c r="S44" s="35"/>
      <c r="T44" s="35"/>
      <c r="U44" s="35"/>
    </row>
    <row r="45" ht="13.5" customHeight="1">
      <c r="A45" s="35"/>
      <c r="B45" s="320" t="s">
        <v>153</v>
      </c>
      <c r="C45" s="277"/>
      <c r="D45" s="278"/>
      <c r="E45" s="320" t="s">
        <v>154</v>
      </c>
      <c r="F45" s="277"/>
      <c r="G45" s="278"/>
      <c r="H45" s="320" t="s">
        <v>155</v>
      </c>
      <c r="I45" s="277"/>
      <c r="J45" s="278"/>
      <c r="K45" s="320" t="s">
        <v>156</v>
      </c>
      <c r="L45" s="277"/>
      <c r="M45" s="277"/>
      <c r="N45" s="278"/>
      <c r="O45" s="35"/>
      <c r="P45" s="35"/>
      <c r="Q45" s="35"/>
      <c r="R45" s="35"/>
      <c r="S45" s="35"/>
      <c r="T45" s="35"/>
      <c r="U45" s="35"/>
    </row>
    <row r="46" ht="13.5" customHeight="1">
      <c r="A46" s="35"/>
      <c r="B46" s="406" t="s">
        <v>210</v>
      </c>
      <c r="C46" s="263"/>
      <c r="D46" s="264"/>
      <c r="E46" s="407" t="s">
        <v>158</v>
      </c>
      <c r="F46" s="263"/>
      <c r="G46" s="264"/>
      <c r="H46" s="408"/>
      <c r="I46" s="263"/>
      <c r="J46" s="264"/>
      <c r="K46" s="409"/>
      <c r="L46" s="263"/>
      <c r="M46" s="263"/>
      <c r="N46" s="264"/>
      <c r="O46" s="35"/>
      <c r="P46" s="35"/>
      <c r="Q46" s="35"/>
      <c r="R46" s="35"/>
      <c r="S46" s="35"/>
      <c r="T46" s="35"/>
      <c r="U46" s="35"/>
    </row>
    <row r="47" ht="13.5" customHeight="1">
      <c r="A47" s="35"/>
      <c r="B47" s="284"/>
      <c r="C47" s="316"/>
      <c r="D47" s="317"/>
      <c r="E47" s="284"/>
      <c r="F47" s="316"/>
      <c r="G47" s="317"/>
      <c r="H47" s="284"/>
      <c r="I47" s="316"/>
      <c r="J47" s="317"/>
      <c r="K47" s="284"/>
      <c r="L47" s="316"/>
      <c r="M47" s="316"/>
      <c r="N47" s="317"/>
      <c r="O47" s="35"/>
      <c r="P47" s="35"/>
      <c r="Q47" s="35"/>
      <c r="R47" s="35"/>
      <c r="S47" s="35"/>
      <c r="T47" s="35"/>
      <c r="U47" s="35"/>
    </row>
    <row r="48" ht="13.5" customHeight="1">
      <c r="A48" s="35"/>
      <c r="B48" s="35"/>
      <c r="C48" s="35"/>
      <c r="D48" s="35"/>
      <c r="E48" s="35"/>
      <c r="F48" s="35"/>
      <c r="G48" s="35"/>
      <c r="H48" s="35"/>
      <c r="I48" s="35"/>
      <c r="J48" s="35"/>
      <c r="K48" s="35"/>
      <c r="L48" s="35"/>
      <c r="M48" s="35"/>
      <c r="N48" s="35"/>
      <c r="O48" s="35"/>
      <c r="P48" s="35"/>
      <c r="Q48" s="35"/>
      <c r="R48" s="35"/>
      <c r="S48" s="35"/>
      <c r="T48" s="35"/>
      <c r="U48" s="35"/>
    </row>
    <row r="49" ht="13.5" customHeight="1">
      <c r="A49" s="35"/>
      <c r="B49" s="410" t="s">
        <v>159</v>
      </c>
      <c r="C49" s="411" t="s">
        <v>160</v>
      </c>
      <c r="D49" s="320" t="s">
        <v>161</v>
      </c>
      <c r="E49" s="277"/>
      <c r="F49" s="277"/>
      <c r="G49" s="277"/>
      <c r="H49" s="277"/>
      <c r="I49" s="277"/>
      <c r="J49" s="277"/>
      <c r="K49" s="277"/>
      <c r="L49" s="277"/>
      <c r="M49" s="278"/>
      <c r="N49" s="412" t="s">
        <v>162</v>
      </c>
      <c r="O49" s="35"/>
      <c r="P49" s="413" t="s">
        <v>163</v>
      </c>
      <c r="Q49" s="413" t="s">
        <v>164</v>
      </c>
      <c r="R49" s="414" t="s">
        <v>165</v>
      </c>
      <c r="S49" s="414" t="s">
        <v>166</v>
      </c>
      <c r="T49" s="414" t="s">
        <v>167</v>
      </c>
      <c r="U49" s="35"/>
    </row>
    <row r="50" ht="13.5" customHeight="1">
      <c r="A50" s="35"/>
      <c r="B50" s="199"/>
      <c r="C50" s="199"/>
      <c r="D50" s="415" t="s">
        <v>168</v>
      </c>
      <c r="E50" s="415" t="s">
        <v>169</v>
      </c>
      <c r="F50" s="415" t="s">
        <v>170</v>
      </c>
      <c r="G50" s="415" t="s">
        <v>171</v>
      </c>
      <c r="H50" s="416" t="s">
        <v>172</v>
      </c>
      <c r="I50" s="416" t="s">
        <v>173</v>
      </c>
      <c r="J50" s="416" t="s">
        <v>174</v>
      </c>
      <c r="K50" s="416" t="s">
        <v>175</v>
      </c>
      <c r="L50" s="416" t="s">
        <v>176</v>
      </c>
      <c r="M50" s="416" t="s">
        <v>177</v>
      </c>
      <c r="N50" s="415" t="s">
        <v>178</v>
      </c>
      <c r="O50" s="35"/>
      <c r="P50" s="199"/>
      <c r="Q50" s="199"/>
      <c r="R50" s="199"/>
      <c r="S50" s="199"/>
      <c r="T50" s="199"/>
      <c r="U50" s="35"/>
    </row>
    <row r="51" ht="13.5" customHeight="1">
      <c r="A51" s="35"/>
      <c r="B51" s="417">
        <v>1.0</v>
      </c>
      <c r="C51" s="418" t="s">
        <v>211</v>
      </c>
      <c r="D51" s="386">
        <v>40.39</v>
      </c>
      <c r="E51" s="386">
        <v>47.24</v>
      </c>
      <c r="F51" s="386">
        <v>36.28</v>
      </c>
      <c r="G51" s="386">
        <v>90.52</v>
      </c>
      <c r="H51" s="387"/>
      <c r="I51" s="387"/>
      <c r="J51" s="387"/>
      <c r="K51" s="387"/>
      <c r="L51" s="387"/>
      <c r="M51" s="387"/>
      <c r="N51" s="419">
        <f t="shared" ref="N51:N53" si="21">SUM(D51:H51)</f>
        <v>214.43</v>
      </c>
      <c r="O51" s="35"/>
      <c r="P51" s="420">
        <f t="shared" ref="P51:P52" si="22">AVERAGE(D51:M51)</f>
        <v>53.6075</v>
      </c>
      <c r="Q51" s="421">
        <f t="shared" ref="Q51:Q52" si="23">MAX(D51:M51)</f>
        <v>90.52</v>
      </c>
      <c r="R51" s="422">
        <f t="shared" ref="R51:R52" si="24">P51/$P$12</f>
        <v>0.07231396597</v>
      </c>
      <c r="S51" s="423"/>
      <c r="T51" s="423"/>
      <c r="U51" s="35"/>
    </row>
    <row r="52" ht="13.5" customHeight="1">
      <c r="A52" s="35"/>
      <c r="B52" s="417">
        <v>2.0</v>
      </c>
      <c r="C52" s="418" t="s">
        <v>212</v>
      </c>
      <c r="D52" s="386">
        <v>12200.2</v>
      </c>
      <c r="E52" s="386">
        <v>11499.7</v>
      </c>
      <c r="F52" s="386">
        <v>12789.8</v>
      </c>
      <c r="G52" s="386">
        <v>12991.7</v>
      </c>
      <c r="H52" s="387"/>
      <c r="I52" s="387"/>
      <c r="J52" s="387"/>
      <c r="K52" s="387"/>
      <c r="L52" s="387"/>
      <c r="M52" s="387"/>
      <c r="N52" s="419">
        <f t="shared" si="21"/>
        <v>49481.4</v>
      </c>
      <c r="O52" s="35"/>
      <c r="P52" s="420">
        <f t="shared" si="22"/>
        <v>12370.35</v>
      </c>
      <c r="Q52" s="421">
        <f t="shared" si="23"/>
        <v>12991.7</v>
      </c>
      <c r="R52" s="422">
        <f t="shared" si="24"/>
        <v>16.68701337</v>
      </c>
      <c r="S52" s="35"/>
      <c r="T52" s="35"/>
      <c r="U52" s="35"/>
    </row>
    <row r="53" ht="13.5" customHeight="1">
      <c r="A53" s="35"/>
      <c r="B53" s="334"/>
      <c r="C53" s="424" t="s">
        <v>180</v>
      </c>
      <c r="D53" s="425">
        <f t="shared" ref="D53:M53" si="25">sum(D51:D52)</f>
        <v>12240.59</v>
      </c>
      <c r="E53" s="425">
        <f t="shared" si="25"/>
        <v>11546.94</v>
      </c>
      <c r="F53" s="425">
        <f t="shared" si="25"/>
        <v>12826.08</v>
      </c>
      <c r="G53" s="425">
        <f t="shared" si="25"/>
        <v>13082.22</v>
      </c>
      <c r="H53" s="426">
        <f t="shared" si="25"/>
        <v>0</v>
      </c>
      <c r="I53" s="426">
        <f t="shared" si="25"/>
        <v>0</v>
      </c>
      <c r="J53" s="426">
        <f t="shared" si="25"/>
        <v>0</v>
      </c>
      <c r="K53" s="426">
        <f t="shared" si="25"/>
        <v>0</v>
      </c>
      <c r="L53" s="426">
        <f t="shared" si="25"/>
        <v>0</v>
      </c>
      <c r="M53" s="426">
        <f t="shared" si="25"/>
        <v>0</v>
      </c>
      <c r="N53" s="427">
        <f t="shared" si="21"/>
        <v>49695.83</v>
      </c>
      <c r="O53" s="428" t="s">
        <v>10</v>
      </c>
      <c r="P53" s="427">
        <f>SUM(P51:P52)</f>
        <v>12423.9575</v>
      </c>
      <c r="Q53" s="340">
        <f>MAX(Q51:Q52)</f>
        <v>12991.7</v>
      </c>
      <c r="R53" s="341">
        <f>SUM(R51)</f>
        <v>0.07231396597</v>
      </c>
      <c r="S53" s="35"/>
      <c r="T53" s="35"/>
      <c r="U53" s="35"/>
    </row>
    <row r="54" ht="13.5" customHeight="1">
      <c r="A54" s="35"/>
      <c r="B54" s="35"/>
      <c r="C54" s="424" t="s">
        <v>181</v>
      </c>
      <c r="D54" s="429">
        <f t="shared" ref="D54:N54" si="26">D53/60</f>
        <v>204.0098333</v>
      </c>
      <c r="E54" s="429">
        <f t="shared" si="26"/>
        <v>192.449</v>
      </c>
      <c r="F54" s="429">
        <f t="shared" si="26"/>
        <v>213.768</v>
      </c>
      <c r="G54" s="429">
        <f t="shared" si="26"/>
        <v>218.037</v>
      </c>
      <c r="H54" s="430">
        <f t="shared" si="26"/>
        <v>0</v>
      </c>
      <c r="I54" s="430">
        <f t="shared" si="26"/>
        <v>0</v>
      </c>
      <c r="J54" s="430">
        <f t="shared" si="26"/>
        <v>0</v>
      </c>
      <c r="K54" s="430">
        <f t="shared" si="26"/>
        <v>0</v>
      </c>
      <c r="L54" s="430">
        <f t="shared" si="26"/>
        <v>0</v>
      </c>
      <c r="M54" s="430">
        <f t="shared" si="26"/>
        <v>0</v>
      </c>
      <c r="N54" s="431">
        <f t="shared" si="26"/>
        <v>828.2638333</v>
      </c>
      <c r="O54" s="35"/>
      <c r="P54" s="371"/>
      <c r="Q54" s="371"/>
      <c r="R54" s="35"/>
      <c r="S54" s="35"/>
      <c r="T54" s="35"/>
      <c r="U54" s="35"/>
    </row>
    <row r="55" ht="13.5" customHeight="1">
      <c r="A55" s="35"/>
      <c r="B55" s="35"/>
      <c r="C55" s="35"/>
      <c r="D55" s="371"/>
      <c r="E55" s="371"/>
      <c r="F55" s="432"/>
      <c r="G55" s="432"/>
      <c r="H55" s="432"/>
      <c r="I55" s="371"/>
      <c r="J55" s="371"/>
      <c r="K55" s="371"/>
      <c r="L55" s="371"/>
      <c r="M55" s="371"/>
      <c r="N55" s="433" t="s">
        <v>182</v>
      </c>
      <c r="O55" s="35"/>
      <c r="P55" s="371"/>
      <c r="Q55" s="371"/>
      <c r="R55" s="35"/>
      <c r="S55" s="35"/>
      <c r="T55" s="35"/>
      <c r="U55" s="35"/>
    </row>
    <row r="56" ht="13.5" customHeight="1">
      <c r="A56" s="35"/>
      <c r="B56" s="35"/>
      <c r="C56" s="434" t="s">
        <v>183</v>
      </c>
      <c r="D56" s="391">
        <v>4.0</v>
      </c>
      <c r="E56" s="391">
        <v>5.0</v>
      </c>
      <c r="F56" s="391">
        <v>6.0</v>
      </c>
      <c r="G56" s="391">
        <v>7.0</v>
      </c>
      <c r="H56" s="435"/>
      <c r="I56" s="436"/>
      <c r="J56" s="436"/>
      <c r="K56" s="436"/>
      <c r="L56" s="436"/>
      <c r="M56" s="436"/>
      <c r="N56" s="35"/>
      <c r="O56" s="35"/>
      <c r="P56" s="35"/>
      <c r="Q56" s="437"/>
      <c r="R56" s="35"/>
      <c r="S56" s="35"/>
      <c r="T56" s="35"/>
      <c r="U56" s="35"/>
    </row>
    <row r="57" ht="13.5" customHeight="1">
      <c r="A57" s="35"/>
      <c r="B57" s="35"/>
      <c r="C57" s="434" t="s">
        <v>216</v>
      </c>
      <c r="D57" s="391">
        <v>11.0</v>
      </c>
      <c r="E57" s="391">
        <v>12.0</v>
      </c>
      <c r="F57" s="391">
        <v>13.0</v>
      </c>
      <c r="G57" s="391">
        <v>15.0</v>
      </c>
      <c r="H57" s="435"/>
      <c r="I57" s="436"/>
      <c r="J57" s="436"/>
      <c r="K57" s="436"/>
      <c r="L57" s="436"/>
      <c r="M57" s="436"/>
      <c r="N57" s="35"/>
      <c r="O57" s="35"/>
      <c r="P57" s="35"/>
      <c r="Q57" s="437"/>
      <c r="R57" s="35"/>
      <c r="S57" s="35"/>
      <c r="T57" s="35"/>
      <c r="U57" s="35"/>
    </row>
    <row r="58" ht="13.5" customHeight="1">
      <c r="A58" s="35"/>
      <c r="B58" s="35"/>
      <c r="C58" s="434" t="s">
        <v>185</v>
      </c>
      <c r="D58" s="391">
        <v>3218.0</v>
      </c>
      <c r="E58" s="391">
        <v>3585.0</v>
      </c>
      <c r="F58" s="391">
        <v>4220.0</v>
      </c>
      <c r="G58" s="391">
        <v>4214.0</v>
      </c>
      <c r="H58" s="435"/>
      <c r="I58" s="436"/>
      <c r="J58" s="436"/>
      <c r="K58" s="436"/>
      <c r="L58" s="436"/>
      <c r="M58" s="436"/>
      <c r="N58" s="35"/>
      <c r="O58" s="35"/>
      <c r="P58" s="35"/>
      <c r="Q58" s="437"/>
      <c r="R58" s="35"/>
      <c r="S58" s="35"/>
      <c r="T58" s="35"/>
      <c r="U58" s="35"/>
    </row>
    <row r="59" ht="13.5" customHeight="1">
      <c r="A59" s="35"/>
      <c r="B59" s="35"/>
      <c r="C59" s="438" t="s">
        <v>204</v>
      </c>
      <c r="D59" s="439" t="s">
        <v>217</v>
      </c>
      <c r="E59" s="439" t="s">
        <v>217</v>
      </c>
      <c r="F59" s="439" t="s">
        <v>217</v>
      </c>
      <c r="G59" s="439" t="s">
        <v>217</v>
      </c>
      <c r="H59" s="440"/>
      <c r="I59" s="440"/>
      <c r="J59" s="440"/>
      <c r="K59" s="436"/>
      <c r="L59" s="436"/>
      <c r="M59" s="436"/>
      <c r="N59" s="35"/>
      <c r="O59" s="35"/>
      <c r="P59" s="35"/>
      <c r="Q59" s="437"/>
      <c r="R59" s="35"/>
      <c r="S59" s="35"/>
      <c r="T59" s="35"/>
      <c r="U59" s="35"/>
    </row>
    <row r="60" ht="13.5" hidden="1" customHeight="1">
      <c r="A60" s="35"/>
      <c r="B60" s="35"/>
      <c r="C60" s="434" t="s">
        <v>187</v>
      </c>
      <c r="D60" s="439"/>
      <c r="E60" s="441"/>
      <c r="F60" s="441"/>
      <c r="G60" s="441"/>
      <c r="H60" s="436"/>
      <c r="I60" s="436"/>
      <c r="J60" s="436"/>
      <c r="K60" s="436"/>
      <c r="L60" s="436"/>
      <c r="M60" s="436"/>
      <c r="N60" s="35"/>
      <c r="O60" s="35"/>
      <c r="P60" s="35"/>
      <c r="Q60" s="437"/>
      <c r="R60" s="35"/>
      <c r="S60" s="35"/>
      <c r="T60" s="35"/>
      <c r="U60" s="35"/>
    </row>
    <row r="61" ht="13.5" customHeight="1">
      <c r="A61" s="35"/>
      <c r="B61" s="35"/>
      <c r="C61" s="434" t="s">
        <v>189</v>
      </c>
      <c r="D61" s="442">
        <v>1.0</v>
      </c>
      <c r="E61" s="442">
        <v>1.0</v>
      </c>
      <c r="F61" s="442">
        <v>1.0</v>
      </c>
      <c r="G61" s="442">
        <v>1.0</v>
      </c>
      <c r="H61" s="443"/>
      <c r="I61" s="443"/>
      <c r="J61" s="443"/>
      <c r="K61" s="443"/>
      <c r="L61" s="443"/>
      <c r="M61" s="443"/>
      <c r="N61" s="35"/>
      <c r="O61" s="35"/>
      <c r="P61" s="35"/>
      <c r="Q61" s="437"/>
      <c r="R61" s="35"/>
      <c r="S61" s="35"/>
      <c r="T61" s="35"/>
      <c r="U61" s="35"/>
    </row>
    <row r="62" ht="13.5" customHeight="1">
      <c r="A62" s="35"/>
      <c r="B62" s="35"/>
      <c r="C62" s="434" t="s">
        <v>190</v>
      </c>
      <c r="D62" s="444">
        <v>45661.0</v>
      </c>
      <c r="E62" s="444">
        <v>45661.0</v>
      </c>
      <c r="F62" s="444">
        <v>45661.0</v>
      </c>
      <c r="G62" s="444">
        <v>45661.0</v>
      </c>
      <c r="H62" s="445"/>
      <c r="I62" s="436"/>
      <c r="J62" s="436"/>
      <c r="K62" s="436"/>
      <c r="L62" s="436"/>
      <c r="M62" s="436"/>
      <c r="N62" s="35"/>
      <c r="O62" s="35"/>
      <c r="P62" s="35"/>
      <c r="Q62" s="437"/>
      <c r="R62" s="35"/>
      <c r="S62" s="35"/>
      <c r="T62" s="35"/>
      <c r="U62" s="35"/>
    </row>
    <row r="63" ht="13.5" customHeight="1">
      <c r="A63" s="35"/>
      <c r="B63" s="35"/>
      <c r="C63" s="35"/>
      <c r="D63" s="35">
        <f>D57/3</f>
        <v>3.666666667</v>
      </c>
      <c r="E63" s="35"/>
      <c r="F63" s="275"/>
      <c r="G63" s="275"/>
      <c r="H63" s="275"/>
      <c r="I63" s="35"/>
      <c r="J63" s="35"/>
      <c r="K63" s="35"/>
      <c r="L63" s="35"/>
      <c r="M63" s="35"/>
      <c r="N63" s="35"/>
      <c r="O63" s="35"/>
      <c r="Q63" s="35"/>
      <c r="R63" s="35"/>
      <c r="S63" s="35"/>
      <c r="T63" s="35"/>
      <c r="U63" s="35"/>
    </row>
    <row r="64" ht="13.5" customHeight="1">
      <c r="A64" s="35"/>
      <c r="B64" s="35"/>
      <c r="C64" s="35"/>
      <c r="D64" s="35"/>
      <c r="E64" s="35"/>
      <c r="F64" s="275"/>
      <c r="G64" s="275"/>
      <c r="H64" s="275"/>
      <c r="I64" s="35"/>
      <c r="J64" s="35"/>
      <c r="K64" s="35"/>
      <c r="L64" s="35"/>
      <c r="M64" s="35"/>
      <c r="N64" s="35"/>
      <c r="O64" s="35"/>
      <c r="P64" s="35"/>
      <c r="Q64" s="35"/>
      <c r="R64" s="35"/>
      <c r="S64" s="35"/>
      <c r="T64" s="35"/>
      <c r="U64" s="35"/>
    </row>
    <row r="65" ht="13.5" customHeight="1">
      <c r="A65" s="35"/>
      <c r="B65" s="35"/>
      <c r="C65" s="356" t="s">
        <v>191</v>
      </c>
      <c r="D65" s="357"/>
      <c r="E65" s="357"/>
      <c r="F65" s="358"/>
      <c r="G65" s="358"/>
      <c r="H65" s="358"/>
      <c r="I65" s="357"/>
      <c r="J65" s="357"/>
      <c r="K65" s="357"/>
      <c r="L65" s="357"/>
      <c r="M65" s="357"/>
      <c r="N65" s="359" t="s">
        <v>163</v>
      </c>
      <c r="O65" s="35"/>
      <c r="P65" s="35"/>
      <c r="Q65" s="35"/>
      <c r="R65" s="35"/>
      <c r="S65" s="35"/>
      <c r="T65" s="35"/>
      <c r="U65" s="35"/>
    </row>
    <row r="66" ht="13.5" customHeight="1">
      <c r="A66" s="35"/>
      <c r="B66" s="35"/>
      <c r="C66" s="446" t="s">
        <v>192</v>
      </c>
      <c r="D66" s="447">
        <v>1.0</v>
      </c>
      <c r="E66" s="447">
        <v>1.0</v>
      </c>
      <c r="F66" s="448">
        <v>1.0</v>
      </c>
      <c r="G66" s="448">
        <v>1.0</v>
      </c>
      <c r="H66" s="449">
        <v>1.0</v>
      </c>
      <c r="I66" s="449">
        <v>1.0</v>
      </c>
      <c r="J66" s="449">
        <v>1.0</v>
      </c>
      <c r="K66" s="449">
        <v>1.0</v>
      </c>
      <c r="L66" s="449">
        <v>1.0</v>
      </c>
      <c r="M66" s="450">
        <v>1.0</v>
      </c>
      <c r="N66" s="364"/>
      <c r="O66" s="35"/>
      <c r="P66" s="35"/>
      <c r="Q66" s="35"/>
      <c r="R66" s="35"/>
      <c r="S66" s="35"/>
      <c r="T66" s="35"/>
      <c r="U66" s="35"/>
    </row>
    <row r="67" ht="13.5" customHeight="1">
      <c r="A67" s="35"/>
      <c r="B67" s="39"/>
      <c r="C67" s="365" t="s">
        <v>193</v>
      </c>
      <c r="D67" s="366">
        <f t="shared" ref="D67:M67" si="27">IFERROR((D53/D56)*D61,0)</f>
        <v>3060.1475</v>
      </c>
      <c r="E67" s="366">
        <f t="shared" si="27"/>
        <v>2309.388</v>
      </c>
      <c r="F67" s="366">
        <f t="shared" si="27"/>
        <v>2137.68</v>
      </c>
      <c r="G67" s="366">
        <f t="shared" si="27"/>
        <v>1868.888571</v>
      </c>
      <c r="H67" s="399">
        <f t="shared" si="27"/>
        <v>0</v>
      </c>
      <c r="I67" s="399">
        <f t="shared" si="27"/>
        <v>0</v>
      </c>
      <c r="J67" s="399">
        <f t="shared" si="27"/>
        <v>0</v>
      </c>
      <c r="K67" s="399">
        <f t="shared" si="27"/>
        <v>0</v>
      </c>
      <c r="L67" s="399">
        <f t="shared" si="27"/>
        <v>0</v>
      </c>
      <c r="M67" s="399">
        <f t="shared" si="27"/>
        <v>0</v>
      </c>
      <c r="N67" s="367">
        <f t="shared" ref="N67:N69" si="29">AVERAGE(D67:G67)</f>
        <v>2344.026018</v>
      </c>
      <c r="O67" s="35"/>
      <c r="P67" s="35"/>
      <c r="Q67" s="35"/>
      <c r="R67" s="35"/>
      <c r="S67" s="35"/>
      <c r="T67" s="35"/>
      <c r="U67" s="35"/>
    </row>
    <row r="68" ht="13.5" customHeight="1">
      <c r="A68" s="35"/>
      <c r="B68" s="39"/>
      <c r="C68" s="365" t="s">
        <v>194</v>
      </c>
      <c r="D68" s="368">
        <f t="shared" ref="D68:M68" si="28">D66*D67</f>
        <v>3060.1475</v>
      </c>
      <c r="E68" s="368">
        <f t="shared" si="28"/>
        <v>2309.388</v>
      </c>
      <c r="F68" s="368">
        <f t="shared" si="28"/>
        <v>2137.68</v>
      </c>
      <c r="G68" s="368">
        <f t="shared" si="28"/>
        <v>1868.888571</v>
      </c>
      <c r="H68" s="400">
        <f t="shared" si="28"/>
        <v>0</v>
      </c>
      <c r="I68" s="400">
        <f t="shared" si="28"/>
        <v>0</v>
      </c>
      <c r="J68" s="400">
        <f t="shared" si="28"/>
        <v>0</v>
      </c>
      <c r="K68" s="400">
        <f t="shared" si="28"/>
        <v>0</v>
      </c>
      <c r="L68" s="400">
        <f t="shared" si="28"/>
        <v>0</v>
      </c>
      <c r="M68" s="400">
        <f t="shared" si="28"/>
        <v>0</v>
      </c>
      <c r="N68" s="367">
        <f t="shared" si="29"/>
        <v>2344.026018</v>
      </c>
      <c r="O68" s="35"/>
      <c r="P68" s="35"/>
      <c r="Q68" s="35"/>
      <c r="R68" s="35"/>
      <c r="S68" s="35"/>
      <c r="T68" s="35"/>
      <c r="U68" s="35"/>
    </row>
    <row r="69" ht="13.5" customHeight="1">
      <c r="A69" s="35"/>
      <c r="B69" s="39"/>
      <c r="C69" s="365" t="s">
        <v>195</v>
      </c>
      <c r="D69" s="368">
        <f t="shared" ref="D69:M69" si="30">D68*(1+0.05)</f>
        <v>3213.154875</v>
      </c>
      <c r="E69" s="368">
        <f t="shared" si="30"/>
        <v>2424.8574</v>
      </c>
      <c r="F69" s="368">
        <f t="shared" si="30"/>
        <v>2244.564</v>
      </c>
      <c r="G69" s="368">
        <f t="shared" si="30"/>
        <v>1962.333</v>
      </c>
      <c r="H69" s="400">
        <f t="shared" si="30"/>
        <v>0</v>
      </c>
      <c r="I69" s="400">
        <f t="shared" si="30"/>
        <v>0</v>
      </c>
      <c r="J69" s="400">
        <f t="shared" si="30"/>
        <v>0</v>
      </c>
      <c r="K69" s="400">
        <f t="shared" si="30"/>
        <v>0</v>
      </c>
      <c r="L69" s="400">
        <f t="shared" si="30"/>
        <v>0</v>
      </c>
      <c r="M69" s="400">
        <f t="shared" si="30"/>
        <v>0</v>
      </c>
      <c r="N69" s="367">
        <f t="shared" si="29"/>
        <v>2461.227319</v>
      </c>
      <c r="O69" s="35"/>
      <c r="P69" s="35"/>
      <c r="Q69" s="35"/>
      <c r="R69" s="35"/>
      <c r="S69" s="35"/>
      <c r="T69" s="35"/>
      <c r="U69" s="35"/>
    </row>
    <row r="70" ht="13.5" customHeight="1">
      <c r="A70" s="35"/>
      <c r="B70" s="39"/>
      <c r="C70" s="369" t="s">
        <v>196</v>
      </c>
      <c r="D70" s="370">
        <f t="shared" ref="D70:M70" si="31">Iferror(3600/D69,0)</f>
        <v>1.120394173</v>
      </c>
      <c r="E70" s="370">
        <f t="shared" si="31"/>
        <v>1.484623384</v>
      </c>
      <c r="F70" s="370">
        <f t="shared" si="31"/>
        <v>1.603874962</v>
      </c>
      <c r="G70" s="370">
        <f t="shared" si="31"/>
        <v>1.834551017</v>
      </c>
      <c r="H70" s="401">
        <f t="shared" si="31"/>
        <v>0</v>
      </c>
      <c r="I70" s="401">
        <f t="shared" si="31"/>
        <v>0</v>
      </c>
      <c r="J70" s="401">
        <f t="shared" si="31"/>
        <v>0</v>
      </c>
      <c r="K70" s="401">
        <f t="shared" si="31"/>
        <v>0</v>
      </c>
      <c r="L70" s="401">
        <f t="shared" si="31"/>
        <v>0</v>
      </c>
      <c r="M70" s="401">
        <f t="shared" si="31"/>
        <v>0</v>
      </c>
      <c r="N70" s="370">
        <f>IFerror(3600/N69,0)</f>
        <v>1.462684886</v>
      </c>
      <c r="O70" s="371"/>
      <c r="P70" s="35"/>
      <c r="Q70" s="35"/>
      <c r="R70" s="35"/>
      <c r="S70" s="35"/>
      <c r="T70" s="35"/>
      <c r="U70" s="35"/>
    </row>
    <row r="71" ht="13.5" customHeight="1">
      <c r="A71" s="35"/>
      <c r="B71" s="35"/>
      <c r="C71" s="275"/>
      <c r="D71" s="35"/>
      <c r="E71" s="35"/>
      <c r="F71" s="275"/>
      <c r="G71" s="275"/>
      <c r="H71" s="275"/>
      <c r="I71" s="35"/>
      <c r="J71" s="35"/>
      <c r="K71" s="35"/>
      <c r="L71" s="35"/>
      <c r="M71" s="35"/>
      <c r="N71" s="35"/>
      <c r="O71" s="35"/>
      <c r="P71" s="35"/>
      <c r="Q71" s="35"/>
      <c r="R71" s="35"/>
      <c r="S71" s="35"/>
      <c r="T71" s="35"/>
      <c r="U71" s="35"/>
    </row>
    <row r="72" ht="13.5" customHeight="1">
      <c r="A72" s="35"/>
      <c r="B72" s="35"/>
      <c r="C72" s="356" t="s">
        <v>218</v>
      </c>
      <c r="D72" s="35"/>
      <c r="E72" s="35"/>
      <c r="F72" s="275"/>
      <c r="G72" s="275"/>
      <c r="H72" s="275"/>
      <c r="I72" s="35"/>
      <c r="J72" s="35"/>
      <c r="K72" s="35"/>
      <c r="L72" s="35"/>
      <c r="M72" s="35"/>
      <c r="N72" s="359" t="s">
        <v>163</v>
      </c>
      <c r="O72" s="35"/>
      <c r="P72" s="35"/>
      <c r="Q72" s="35"/>
      <c r="R72" s="35"/>
      <c r="S72" s="35"/>
      <c r="T72" s="35"/>
      <c r="U72" s="35"/>
    </row>
    <row r="73" ht="13.5" customHeight="1">
      <c r="A73" s="35"/>
      <c r="B73" s="35"/>
      <c r="C73" s="446" t="s">
        <v>193</v>
      </c>
      <c r="D73" s="451">
        <f t="shared" ref="D73:M73" si="32">IFERROR((D53/D57)*D61,0)</f>
        <v>1112.780909</v>
      </c>
      <c r="E73" s="451">
        <f t="shared" si="32"/>
        <v>962.245</v>
      </c>
      <c r="F73" s="451">
        <f t="shared" si="32"/>
        <v>986.6215385</v>
      </c>
      <c r="G73" s="451">
        <f t="shared" si="32"/>
        <v>872.148</v>
      </c>
      <c r="H73" s="452">
        <f t="shared" si="32"/>
        <v>0</v>
      </c>
      <c r="I73" s="452">
        <f t="shared" si="32"/>
        <v>0</v>
      </c>
      <c r="J73" s="452">
        <f t="shared" si="32"/>
        <v>0</v>
      </c>
      <c r="K73" s="452">
        <f t="shared" si="32"/>
        <v>0</v>
      </c>
      <c r="L73" s="452">
        <f t="shared" si="32"/>
        <v>0</v>
      </c>
      <c r="M73" s="453">
        <f t="shared" si="32"/>
        <v>0</v>
      </c>
      <c r="N73" s="367">
        <f t="shared" ref="N73:N75" si="34">AVERAGE(D73:G73)</f>
        <v>983.4488619</v>
      </c>
      <c r="O73" s="35"/>
      <c r="P73" s="35"/>
      <c r="Q73" s="35"/>
      <c r="R73" s="35"/>
      <c r="S73" s="35"/>
      <c r="T73" s="35"/>
      <c r="U73" s="35"/>
    </row>
    <row r="74" ht="13.5" customHeight="1">
      <c r="A74" s="35"/>
      <c r="B74" s="35"/>
      <c r="C74" s="446" t="s">
        <v>194</v>
      </c>
      <c r="D74" s="454">
        <f t="shared" ref="D74:M74" si="33">D73*D66</f>
        <v>1112.780909</v>
      </c>
      <c r="E74" s="454">
        <f t="shared" si="33"/>
        <v>962.245</v>
      </c>
      <c r="F74" s="454">
        <f t="shared" si="33"/>
        <v>986.6215385</v>
      </c>
      <c r="G74" s="454">
        <f t="shared" si="33"/>
        <v>872.148</v>
      </c>
      <c r="H74" s="455">
        <f t="shared" si="33"/>
        <v>0</v>
      </c>
      <c r="I74" s="455">
        <f t="shared" si="33"/>
        <v>0</v>
      </c>
      <c r="J74" s="455">
        <f t="shared" si="33"/>
        <v>0</v>
      </c>
      <c r="K74" s="455">
        <f t="shared" si="33"/>
        <v>0</v>
      </c>
      <c r="L74" s="455">
        <f t="shared" si="33"/>
        <v>0</v>
      </c>
      <c r="M74" s="455">
        <f t="shared" si="33"/>
        <v>0</v>
      </c>
      <c r="N74" s="367">
        <f t="shared" si="34"/>
        <v>983.4488619</v>
      </c>
      <c r="O74" s="35"/>
      <c r="P74" s="35"/>
      <c r="T74" s="35"/>
      <c r="U74" s="35"/>
    </row>
    <row r="75" ht="13.5" customHeight="1">
      <c r="A75" s="35"/>
      <c r="B75" s="35"/>
      <c r="C75" s="446" t="s">
        <v>195</v>
      </c>
      <c r="D75" s="454">
        <f t="shared" ref="D75:M75" si="35">D74*(1+0.05)</f>
        <v>1168.419955</v>
      </c>
      <c r="E75" s="454">
        <f t="shared" si="35"/>
        <v>1010.35725</v>
      </c>
      <c r="F75" s="454">
        <f t="shared" si="35"/>
        <v>1035.952615</v>
      </c>
      <c r="G75" s="454">
        <f t="shared" si="35"/>
        <v>915.7554</v>
      </c>
      <c r="H75" s="455">
        <f t="shared" si="35"/>
        <v>0</v>
      </c>
      <c r="I75" s="455">
        <f t="shared" si="35"/>
        <v>0</v>
      </c>
      <c r="J75" s="455">
        <f t="shared" si="35"/>
        <v>0</v>
      </c>
      <c r="K75" s="455">
        <f t="shared" si="35"/>
        <v>0</v>
      </c>
      <c r="L75" s="455">
        <f t="shared" si="35"/>
        <v>0</v>
      </c>
      <c r="M75" s="455">
        <f t="shared" si="35"/>
        <v>0</v>
      </c>
      <c r="N75" s="367">
        <f t="shared" si="34"/>
        <v>1032.621305</v>
      </c>
      <c r="O75" s="35"/>
      <c r="P75" s="35"/>
      <c r="Q75" s="35"/>
      <c r="R75" s="35"/>
      <c r="S75" s="35"/>
      <c r="T75" s="35"/>
      <c r="U75" s="35"/>
    </row>
    <row r="76" ht="13.5" customHeight="1">
      <c r="A76" s="35"/>
      <c r="B76" s="35"/>
      <c r="C76" s="456" t="s">
        <v>196</v>
      </c>
      <c r="D76" s="457">
        <f t="shared" ref="D76:N76" si="36">Iferror(3600/D75,0)</f>
        <v>3.081083977</v>
      </c>
      <c r="E76" s="457">
        <f t="shared" si="36"/>
        <v>3.563096123</v>
      </c>
      <c r="F76" s="457">
        <f t="shared" si="36"/>
        <v>3.475062417</v>
      </c>
      <c r="G76" s="457">
        <f t="shared" si="36"/>
        <v>3.93118075</v>
      </c>
      <c r="H76" s="458">
        <f t="shared" si="36"/>
        <v>0</v>
      </c>
      <c r="I76" s="458">
        <f t="shared" si="36"/>
        <v>0</v>
      </c>
      <c r="J76" s="458">
        <f t="shared" si="36"/>
        <v>0</v>
      </c>
      <c r="K76" s="458">
        <f t="shared" si="36"/>
        <v>0</v>
      </c>
      <c r="L76" s="458">
        <f t="shared" si="36"/>
        <v>0</v>
      </c>
      <c r="M76" s="458">
        <f t="shared" si="36"/>
        <v>0</v>
      </c>
      <c r="N76" s="457">
        <f t="shared" si="36"/>
        <v>3.486273218</v>
      </c>
      <c r="O76" s="35">
        <f>N76*8</f>
        <v>27.89018574</v>
      </c>
      <c r="P76" s="35"/>
      <c r="Q76" s="35"/>
      <c r="R76" s="35"/>
      <c r="S76" s="35"/>
      <c r="T76" s="35"/>
      <c r="U76" s="35"/>
    </row>
    <row r="77" ht="13.5" customHeight="1">
      <c r="A77" s="35"/>
      <c r="B77" s="35"/>
      <c r="C77" s="35"/>
      <c r="D77" s="35"/>
      <c r="E77" s="35"/>
      <c r="F77" s="275"/>
      <c r="G77" s="275"/>
      <c r="H77" s="275"/>
      <c r="I77" s="35"/>
      <c r="J77" s="35"/>
      <c r="K77" s="35"/>
      <c r="L77" s="35"/>
      <c r="M77" s="35"/>
      <c r="N77" s="35"/>
      <c r="O77" s="35"/>
      <c r="P77" s="35"/>
      <c r="Q77" s="35"/>
      <c r="R77" s="35"/>
      <c r="S77" s="35"/>
      <c r="T77" s="35"/>
      <c r="U77" s="35"/>
    </row>
    <row r="78" ht="13.5" customHeight="1">
      <c r="A78" s="35"/>
      <c r="B78" s="35"/>
      <c r="C78" s="377" t="s">
        <v>198</v>
      </c>
      <c r="D78" s="35"/>
      <c r="E78" s="35"/>
      <c r="F78" s="275"/>
      <c r="G78" s="275"/>
      <c r="H78" s="275"/>
      <c r="I78" s="35"/>
      <c r="J78" s="35"/>
      <c r="K78" s="35"/>
      <c r="L78" s="35"/>
      <c r="M78" s="35"/>
      <c r="N78" s="359" t="s">
        <v>163</v>
      </c>
      <c r="O78" s="35"/>
      <c r="P78" s="35"/>
      <c r="Q78" s="35"/>
      <c r="R78" s="35"/>
      <c r="S78" s="35"/>
      <c r="T78" s="35"/>
      <c r="U78" s="35"/>
    </row>
    <row r="79" ht="13.5" customHeight="1">
      <c r="A79" s="35"/>
      <c r="B79" s="35"/>
      <c r="C79" s="446" t="s">
        <v>193</v>
      </c>
      <c r="D79" s="451">
        <f t="shared" ref="D79:M79" si="37">IFERROR((D53/D58)*D61,0)</f>
        <v>3.803788067</v>
      </c>
      <c r="E79" s="451">
        <f t="shared" si="37"/>
        <v>3.220903766</v>
      </c>
      <c r="F79" s="451">
        <f t="shared" si="37"/>
        <v>3.03935545</v>
      </c>
      <c r="G79" s="451">
        <f t="shared" si="37"/>
        <v>3.104466065</v>
      </c>
      <c r="H79" s="452">
        <f t="shared" si="37"/>
        <v>0</v>
      </c>
      <c r="I79" s="452">
        <f t="shared" si="37"/>
        <v>0</v>
      </c>
      <c r="J79" s="452">
        <f t="shared" si="37"/>
        <v>0</v>
      </c>
      <c r="K79" s="452">
        <f t="shared" si="37"/>
        <v>0</v>
      </c>
      <c r="L79" s="452">
        <f t="shared" si="37"/>
        <v>0</v>
      </c>
      <c r="M79" s="452">
        <f t="shared" si="37"/>
        <v>0</v>
      </c>
      <c r="N79" s="367">
        <f t="shared" ref="N79:N81" si="39">AVERAGE(D79:G79)</f>
        <v>3.292128337</v>
      </c>
      <c r="O79" s="35"/>
      <c r="P79" s="35"/>
      <c r="Q79" s="35"/>
      <c r="R79" s="35"/>
      <c r="S79" s="35"/>
      <c r="T79" s="35"/>
      <c r="U79" s="35"/>
    </row>
    <row r="80" ht="13.5" customHeight="1">
      <c r="A80" s="35"/>
      <c r="B80" s="35"/>
      <c r="C80" s="446" t="s">
        <v>194</v>
      </c>
      <c r="D80" s="454">
        <f t="shared" ref="D80:M80" si="38">D79*D66</f>
        <v>3.803788067</v>
      </c>
      <c r="E80" s="454">
        <f t="shared" si="38"/>
        <v>3.220903766</v>
      </c>
      <c r="F80" s="454">
        <f t="shared" si="38"/>
        <v>3.03935545</v>
      </c>
      <c r="G80" s="454">
        <f t="shared" si="38"/>
        <v>3.104466065</v>
      </c>
      <c r="H80" s="455">
        <f t="shared" si="38"/>
        <v>0</v>
      </c>
      <c r="I80" s="455">
        <f t="shared" si="38"/>
        <v>0</v>
      </c>
      <c r="J80" s="455">
        <f t="shared" si="38"/>
        <v>0</v>
      </c>
      <c r="K80" s="455">
        <f t="shared" si="38"/>
        <v>0</v>
      </c>
      <c r="L80" s="455">
        <f t="shared" si="38"/>
        <v>0</v>
      </c>
      <c r="M80" s="455">
        <f t="shared" si="38"/>
        <v>0</v>
      </c>
      <c r="N80" s="367">
        <f t="shared" si="39"/>
        <v>3.292128337</v>
      </c>
      <c r="O80" s="35"/>
      <c r="P80" s="35"/>
      <c r="T80" s="35"/>
      <c r="U80" s="35"/>
    </row>
    <row r="81" ht="13.5" customHeight="1">
      <c r="A81" s="35"/>
      <c r="B81" s="35"/>
      <c r="C81" s="446" t="s">
        <v>195</v>
      </c>
      <c r="D81" s="454">
        <f t="shared" ref="D81:M81" si="40">D80*(1+0.05)</f>
        <v>3.99397747</v>
      </c>
      <c r="E81" s="454">
        <f t="shared" si="40"/>
        <v>3.381948954</v>
      </c>
      <c r="F81" s="454">
        <f t="shared" si="40"/>
        <v>3.191323223</v>
      </c>
      <c r="G81" s="454">
        <f t="shared" si="40"/>
        <v>3.259689369</v>
      </c>
      <c r="H81" s="455">
        <f t="shared" si="40"/>
        <v>0</v>
      </c>
      <c r="I81" s="455">
        <f t="shared" si="40"/>
        <v>0</v>
      </c>
      <c r="J81" s="455">
        <f t="shared" si="40"/>
        <v>0</v>
      </c>
      <c r="K81" s="455">
        <f t="shared" si="40"/>
        <v>0</v>
      </c>
      <c r="L81" s="455">
        <f t="shared" si="40"/>
        <v>0</v>
      </c>
      <c r="M81" s="455">
        <f t="shared" si="40"/>
        <v>0</v>
      </c>
      <c r="N81" s="367">
        <f t="shared" si="39"/>
        <v>3.456734754</v>
      </c>
      <c r="O81" s="35"/>
      <c r="P81" s="35"/>
      <c r="Q81" s="35"/>
      <c r="R81" s="35"/>
      <c r="S81" s="35"/>
      <c r="T81" s="35"/>
      <c r="U81" s="35"/>
    </row>
    <row r="82" ht="13.5" customHeight="1">
      <c r="A82" s="35"/>
      <c r="B82" s="35"/>
      <c r="C82" s="456" t="s">
        <v>196</v>
      </c>
      <c r="D82" s="457">
        <f t="shared" ref="D82:N82" si="41">IFERROR(3600/D81,0)</f>
        <v>901.3571125</v>
      </c>
      <c r="E82" s="457">
        <f t="shared" si="41"/>
        <v>1064.474967</v>
      </c>
      <c r="F82" s="457">
        <f t="shared" si="41"/>
        <v>1128.058723</v>
      </c>
      <c r="G82" s="457">
        <f t="shared" si="41"/>
        <v>1104.399712</v>
      </c>
      <c r="H82" s="458">
        <f t="shared" si="41"/>
        <v>0</v>
      </c>
      <c r="I82" s="458">
        <f t="shared" si="41"/>
        <v>0</v>
      </c>
      <c r="J82" s="458">
        <f t="shared" si="41"/>
        <v>0</v>
      </c>
      <c r="K82" s="458">
        <f t="shared" si="41"/>
        <v>0</v>
      </c>
      <c r="L82" s="458">
        <f t="shared" si="41"/>
        <v>0</v>
      </c>
      <c r="M82" s="458">
        <f t="shared" si="41"/>
        <v>0</v>
      </c>
      <c r="N82" s="457">
        <f t="shared" si="41"/>
        <v>1041.445253</v>
      </c>
      <c r="O82" s="35"/>
      <c r="P82" s="35"/>
      <c r="Q82" s="35"/>
      <c r="R82" s="35"/>
      <c r="S82" s="35"/>
      <c r="T82" s="35"/>
      <c r="U82" s="35"/>
    </row>
    <row r="83" ht="13.5" customHeight="1">
      <c r="A83" s="275"/>
      <c r="B83" s="275"/>
      <c r="C83" s="275"/>
      <c r="D83" s="275"/>
      <c r="E83" s="275"/>
      <c r="F83" s="275"/>
      <c r="G83" s="275"/>
      <c r="H83" s="275"/>
      <c r="I83" s="275"/>
      <c r="J83" s="275"/>
      <c r="K83" s="275"/>
      <c r="L83" s="275"/>
      <c r="M83" s="275"/>
      <c r="N83" s="275"/>
      <c r="O83" s="275"/>
      <c r="P83" s="275"/>
      <c r="Q83" s="275"/>
      <c r="R83" s="275"/>
      <c r="S83" s="275"/>
      <c r="T83" s="275"/>
      <c r="U83" s="275"/>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 ref="H4:J5"/>
    <mergeCell ref="K4:N5"/>
    <mergeCell ref="O22:P22"/>
    <mergeCell ref="P33:S33"/>
    <mergeCell ref="P39:S39"/>
    <mergeCell ref="B44:N44"/>
    <mergeCell ref="B45:D45"/>
    <mergeCell ref="K45:N45"/>
    <mergeCell ref="C49:C50"/>
    <mergeCell ref="D49:M49"/>
    <mergeCell ref="P49:P50"/>
    <mergeCell ref="Q49:Q50"/>
    <mergeCell ref="R49:R50"/>
    <mergeCell ref="S49:S50"/>
    <mergeCell ref="T49:T50"/>
    <mergeCell ref="O63:P63"/>
    <mergeCell ref="P74:S74"/>
    <mergeCell ref="P80:S80"/>
    <mergeCell ref="E45:G45"/>
    <mergeCell ref="H45:J45"/>
    <mergeCell ref="B46:D47"/>
    <mergeCell ref="E46:G47"/>
    <mergeCell ref="H46:J47"/>
    <mergeCell ref="K46:N47"/>
    <mergeCell ref="B49:B5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13" width="9.86"/>
    <col customWidth="1" min="14" max="14" width="18.0"/>
    <col customWidth="1" min="15" max="15" width="8.71"/>
    <col customWidth="1" min="16" max="16" width="7.0"/>
    <col customWidth="1" min="17" max="17" width="5.0"/>
    <col customWidth="1" min="18" max="18" width="13.0"/>
    <col customWidth="1" min="19" max="19" width="9.86"/>
    <col customWidth="1" min="20" max="20" width="27.57"/>
    <col customWidth="1" min="21" max="21"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row>
    <row r="2" ht="13.5" customHeight="1">
      <c r="A2" s="35"/>
      <c r="B2" s="310" t="s">
        <v>152</v>
      </c>
      <c r="O2" s="35"/>
      <c r="P2" s="35"/>
      <c r="Q2" s="35"/>
      <c r="R2" s="35"/>
      <c r="S2" s="35"/>
      <c r="T2" s="35"/>
      <c r="U2" s="35"/>
    </row>
    <row r="3" ht="13.5" customHeight="1">
      <c r="A3" s="35"/>
      <c r="B3" s="311" t="s">
        <v>153</v>
      </c>
      <c r="C3" s="277"/>
      <c r="D3" s="278"/>
      <c r="E3" s="311" t="s">
        <v>154</v>
      </c>
      <c r="F3" s="277"/>
      <c r="G3" s="278"/>
      <c r="H3" s="311" t="s">
        <v>155</v>
      </c>
      <c r="I3" s="277"/>
      <c r="J3" s="278"/>
      <c r="K3" s="311" t="s">
        <v>156</v>
      </c>
      <c r="L3" s="277"/>
      <c r="M3" s="277"/>
      <c r="N3" s="278"/>
      <c r="O3" s="35"/>
      <c r="P3" s="35"/>
      <c r="Q3" s="35"/>
      <c r="R3" s="35"/>
      <c r="S3" s="35"/>
      <c r="T3" s="35"/>
      <c r="U3" s="35"/>
    </row>
    <row r="4" ht="13.5" customHeight="1">
      <c r="A4" s="35"/>
      <c r="B4" s="312" t="s">
        <v>219</v>
      </c>
      <c r="C4" s="263"/>
      <c r="D4" s="264"/>
      <c r="E4" s="313" t="s">
        <v>158</v>
      </c>
      <c r="F4" s="263"/>
      <c r="G4" s="264"/>
      <c r="H4" s="314"/>
      <c r="I4" s="263"/>
      <c r="J4" s="264"/>
      <c r="K4" s="315"/>
      <c r="L4" s="263"/>
      <c r="M4" s="263"/>
      <c r="N4" s="264"/>
      <c r="O4" s="35"/>
      <c r="P4" s="35"/>
      <c r="Q4" s="35"/>
      <c r="R4" s="35"/>
      <c r="S4" s="35"/>
      <c r="T4" s="35"/>
      <c r="U4" s="35"/>
    </row>
    <row r="5" ht="13.5" customHeight="1">
      <c r="A5" s="35"/>
      <c r="B5" s="284"/>
      <c r="C5" s="316"/>
      <c r="D5" s="317"/>
      <c r="E5" s="284"/>
      <c r="F5" s="316"/>
      <c r="G5" s="317"/>
      <c r="H5" s="284"/>
      <c r="I5" s="316"/>
      <c r="J5" s="317"/>
      <c r="K5" s="284"/>
      <c r="L5" s="316"/>
      <c r="M5" s="316"/>
      <c r="N5" s="317"/>
      <c r="O5" s="35"/>
      <c r="P5" s="35"/>
      <c r="Q5" s="35"/>
      <c r="R5" s="35"/>
      <c r="S5" s="35"/>
      <c r="T5" s="35"/>
      <c r="U5" s="35"/>
    </row>
    <row r="6" ht="13.5" customHeight="1">
      <c r="A6" s="35"/>
      <c r="B6" s="158"/>
      <c r="C6" s="158"/>
      <c r="D6" s="158"/>
      <c r="E6" s="158"/>
      <c r="F6" s="158"/>
      <c r="G6" s="158"/>
      <c r="H6" s="158"/>
      <c r="I6" s="158"/>
      <c r="J6" s="158"/>
      <c r="K6" s="158"/>
      <c r="L6" s="158"/>
      <c r="M6" s="158"/>
      <c r="N6" s="158"/>
      <c r="O6" s="35"/>
      <c r="P6" s="35"/>
      <c r="Q6" s="35"/>
      <c r="R6" s="35"/>
      <c r="S6" s="35"/>
      <c r="T6" s="35"/>
      <c r="U6" s="35"/>
    </row>
    <row r="7" ht="13.5" customHeight="1">
      <c r="A7" s="35"/>
      <c r="B7" s="318" t="s">
        <v>159</v>
      </c>
      <c r="C7" s="319" t="s">
        <v>160</v>
      </c>
      <c r="D7" s="320" t="s">
        <v>161</v>
      </c>
      <c r="E7" s="277"/>
      <c r="F7" s="277"/>
      <c r="G7" s="277"/>
      <c r="H7" s="277"/>
      <c r="I7" s="277"/>
      <c r="J7" s="277"/>
      <c r="K7" s="277"/>
      <c r="L7" s="277"/>
      <c r="M7" s="278"/>
      <c r="N7" s="321" t="s">
        <v>162</v>
      </c>
      <c r="O7" s="158"/>
      <c r="P7" s="322" t="s">
        <v>163</v>
      </c>
      <c r="Q7" s="322" t="s">
        <v>164</v>
      </c>
      <c r="R7" s="323" t="s">
        <v>165</v>
      </c>
      <c r="S7" s="323" t="s">
        <v>166</v>
      </c>
      <c r="T7" s="323" t="s">
        <v>167</v>
      </c>
      <c r="U7" s="35"/>
    </row>
    <row r="8" ht="13.5" customHeight="1">
      <c r="A8" s="35"/>
      <c r="B8" s="199"/>
      <c r="C8" s="199"/>
      <c r="D8" s="324" t="s">
        <v>168</v>
      </c>
      <c r="E8" s="324" t="s">
        <v>169</v>
      </c>
      <c r="F8" s="324" t="s">
        <v>170</v>
      </c>
      <c r="G8" s="324" t="s">
        <v>171</v>
      </c>
      <c r="H8" s="324" t="s">
        <v>172</v>
      </c>
      <c r="I8" s="324" t="s">
        <v>173</v>
      </c>
      <c r="J8" s="324" t="s">
        <v>174</v>
      </c>
      <c r="K8" s="324" t="s">
        <v>175</v>
      </c>
      <c r="L8" s="324" t="s">
        <v>176</v>
      </c>
      <c r="M8" s="324" t="s">
        <v>177</v>
      </c>
      <c r="N8" s="324" t="s">
        <v>178</v>
      </c>
      <c r="O8" s="158"/>
      <c r="P8" s="199"/>
      <c r="Q8" s="199"/>
      <c r="R8" s="199"/>
      <c r="S8" s="199"/>
      <c r="T8" s="199"/>
      <c r="U8" s="35"/>
    </row>
    <row r="9" ht="13.5" customHeight="1">
      <c r="A9" s="158"/>
      <c r="B9" s="325">
        <v>2.0</v>
      </c>
      <c r="C9" s="326" t="s">
        <v>179</v>
      </c>
      <c r="D9" s="327">
        <v>134.19</v>
      </c>
      <c r="E9" s="328">
        <v>263.92</v>
      </c>
      <c r="F9" s="329">
        <v>95.77</v>
      </c>
      <c r="G9" s="329">
        <v>215.45</v>
      </c>
      <c r="H9" s="329">
        <v>488.19</v>
      </c>
      <c r="I9" s="329">
        <v>293.6</v>
      </c>
      <c r="J9" s="329">
        <v>236.89</v>
      </c>
      <c r="K9" s="329">
        <v>260.67</v>
      </c>
      <c r="L9" s="329">
        <v>118.11</v>
      </c>
      <c r="M9" s="329">
        <v>269.07</v>
      </c>
      <c r="N9" s="330">
        <f t="shared" ref="N9:N10" si="2">SUM(D9:H9)</f>
        <v>1197.52</v>
      </c>
      <c r="O9" s="158"/>
      <c r="P9" s="328">
        <f>AVERAGE(D9:M9)</f>
        <v>237.586</v>
      </c>
      <c r="Q9" s="331">
        <f>MAX(D9:M9)</f>
        <v>488.19</v>
      </c>
      <c r="R9" s="379">
        <f>P9/$P$10</f>
        <v>1</v>
      </c>
      <c r="S9" s="333"/>
      <c r="T9" s="326" t="s">
        <v>220</v>
      </c>
      <c r="U9" s="158"/>
    </row>
    <row r="10" ht="13.5" customHeight="1">
      <c r="A10" s="35"/>
      <c r="B10" s="334"/>
      <c r="C10" s="335" t="s">
        <v>180</v>
      </c>
      <c r="D10" s="336">
        <f t="shared" ref="D10:M10" si="1">sum(D9)</f>
        <v>134.19</v>
      </c>
      <c r="E10" s="336">
        <f t="shared" si="1"/>
        <v>263.92</v>
      </c>
      <c r="F10" s="336">
        <f t="shared" si="1"/>
        <v>95.77</v>
      </c>
      <c r="G10" s="336">
        <f t="shared" si="1"/>
        <v>215.45</v>
      </c>
      <c r="H10" s="336">
        <f t="shared" si="1"/>
        <v>488.19</v>
      </c>
      <c r="I10" s="336">
        <f t="shared" si="1"/>
        <v>293.6</v>
      </c>
      <c r="J10" s="336">
        <f t="shared" si="1"/>
        <v>236.89</v>
      </c>
      <c r="K10" s="336">
        <f t="shared" si="1"/>
        <v>260.67</v>
      </c>
      <c r="L10" s="336">
        <f t="shared" si="1"/>
        <v>118.11</v>
      </c>
      <c r="M10" s="336">
        <f t="shared" si="1"/>
        <v>269.07</v>
      </c>
      <c r="N10" s="337">
        <f t="shared" si="2"/>
        <v>1197.52</v>
      </c>
      <c r="O10" s="338" t="s">
        <v>10</v>
      </c>
      <c r="P10" s="339">
        <f t="shared" ref="P10:R10" si="3">SUM(P9)</f>
        <v>237.586</v>
      </c>
      <c r="Q10" s="340">
        <f t="shared" si="3"/>
        <v>488.19</v>
      </c>
      <c r="R10" s="341">
        <f t="shared" si="3"/>
        <v>1</v>
      </c>
      <c r="S10" s="35"/>
      <c r="T10" s="35"/>
      <c r="U10" s="35"/>
    </row>
    <row r="11" ht="13.5" customHeight="1">
      <c r="A11" s="35"/>
      <c r="B11" s="35"/>
      <c r="C11" s="335" t="s">
        <v>181</v>
      </c>
      <c r="D11" s="380">
        <f t="shared" ref="D11:N11" si="4">D10/60</f>
        <v>2.2365</v>
      </c>
      <c r="E11" s="380">
        <f t="shared" si="4"/>
        <v>4.398666667</v>
      </c>
      <c r="F11" s="380">
        <f t="shared" si="4"/>
        <v>1.596166667</v>
      </c>
      <c r="G11" s="380">
        <f t="shared" si="4"/>
        <v>3.590833333</v>
      </c>
      <c r="H11" s="380">
        <f t="shared" si="4"/>
        <v>8.1365</v>
      </c>
      <c r="I11" s="380">
        <f t="shared" si="4"/>
        <v>4.893333333</v>
      </c>
      <c r="J11" s="380">
        <f t="shared" si="4"/>
        <v>3.948166667</v>
      </c>
      <c r="K11" s="380">
        <f t="shared" si="4"/>
        <v>4.3445</v>
      </c>
      <c r="L11" s="380">
        <f t="shared" si="4"/>
        <v>1.9685</v>
      </c>
      <c r="M11" s="380">
        <f t="shared" si="4"/>
        <v>4.4845</v>
      </c>
      <c r="N11" s="343">
        <f t="shared" si="4"/>
        <v>19.95866667</v>
      </c>
      <c r="O11" s="158"/>
      <c r="P11" s="344"/>
      <c r="Q11" s="344"/>
      <c r="R11" s="158"/>
      <c r="S11" s="35"/>
      <c r="T11" s="35"/>
      <c r="U11" s="35"/>
    </row>
    <row r="12" ht="13.5" customHeight="1">
      <c r="A12" s="35"/>
      <c r="B12" s="35"/>
      <c r="C12" s="158"/>
      <c r="D12" s="344"/>
      <c r="E12" s="344"/>
      <c r="F12" s="345"/>
      <c r="G12" s="345"/>
      <c r="H12" s="345"/>
      <c r="I12" s="344"/>
      <c r="J12" s="344"/>
      <c r="K12" s="344"/>
      <c r="L12" s="344"/>
      <c r="M12" s="344"/>
      <c r="N12" s="346" t="s">
        <v>182</v>
      </c>
      <c r="O12" s="158"/>
      <c r="P12" s="344"/>
      <c r="Q12" s="344"/>
      <c r="R12" s="158"/>
      <c r="S12" s="35"/>
      <c r="T12" s="35"/>
      <c r="U12" s="35"/>
    </row>
    <row r="13" ht="13.5" customHeight="1">
      <c r="A13" s="35"/>
      <c r="B13" s="35"/>
      <c r="C13" s="347" t="s">
        <v>183</v>
      </c>
      <c r="D13" s="348">
        <v>1.0</v>
      </c>
      <c r="E13" s="391">
        <v>1.0</v>
      </c>
      <c r="F13" s="459">
        <v>1.0</v>
      </c>
      <c r="G13" s="459">
        <v>2.0</v>
      </c>
      <c r="H13" s="459">
        <v>4.0</v>
      </c>
      <c r="I13" s="460">
        <v>1.0</v>
      </c>
      <c r="J13" s="350">
        <v>2.0</v>
      </c>
      <c r="K13" s="350">
        <v>2.0</v>
      </c>
      <c r="L13" s="350">
        <v>1.0</v>
      </c>
      <c r="M13" s="350">
        <v>3.0</v>
      </c>
      <c r="N13" s="158"/>
      <c r="O13" s="158"/>
      <c r="P13" s="158"/>
      <c r="Q13" s="232"/>
      <c r="R13" s="35"/>
      <c r="S13" s="35"/>
      <c r="T13" s="35"/>
      <c r="U13" s="35"/>
    </row>
    <row r="14" ht="13.5" hidden="1" customHeight="1">
      <c r="A14" s="35"/>
      <c r="B14" s="35"/>
      <c r="C14" s="347" t="s">
        <v>184</v>
      </c>
      <c r="D14" s="348"/>
      <c r="E14" s="348"/>
      <c r="F14" s="349"/>
      <c r="G14" s="349"/>
      <c r="H14" s="349"/>
      <c r="I14" s="350"/>
      <c r="J14" s="350"/>
      <c r="K14" s="350"/>
      <c r="L14" s="350"/>
      <c r="M14" s="350"/>
      <c r="N14" s="158"/>
      <c r="O14" s="158"/>
      <c r="P14" s="158"/>
      <c r="Q14" s="232"/>
      <c r="R14" s="35"/>
      <c r="S14" s="35"/>
      <c r="T14" s="35"/>
      <c r="U14" s="35"/>
    </row>
    <row r="15" ht="13.5" customHeight="1">
      <c r="A15" s="35"/>
      <c r="B15" s="35"/>
      <c r="C15" s="347" t="s">
        <v>185</v>
      </c>
      <c r="D15" s="348">
        <v>338.0</v>
      </c>
      <c r="E15" s="348">
        <v>705.0</v>
      </c>
      <c r="F15" s="349">
        <v>15.0</v>
      </c>
      <c r="G15" s="349">
        <v>272.0</v>
      </c>
      <c r="H15" s="349">
        <v>140.0</v>
      </c>
      <c r="I15" s="350">
        <v>256.0</v>
      </c>
      <c r="J15" s="350">
        <v>7038.0</v>
      </c>
      <c r="K15" s="350">
        <v>8259.0</v>
      </c>
      <c r="L15" s="350">
        <v>5503.0</v>
      </c>
      <c r="M15" s="350">
        <v>8502.0</v>
      </c>
      <c r="N15" s="158"/>
      <c r="O15" s="158"/>
      <c r="P15" s="158"/>
      <c r="Q15" s="232"/>
      <c r="R15" s="35"/>
      <c r="S15" s="35"/>
      <c r="T15" s="35"/>
      <c r="U15" s="35"/>
    </row>
    <row r="16" ht="13.5" hidden="1" customHeight="1">
      <c r="A16" s="35"/>
      <c r="B16" s="35"/>
      <c r="C16" s="352" t="s">
        <v>204</v>
      </c>
      <c r="D16" s="353" t="s">
        <v>205</v>
      </c>
      <c r="E16" s="353" t="s">
        <v>205</v>
      </c>
      <c r="F16" s="353" t="s">
        <v>205</v>
      </c>
      <c r="G16" s="353" t="s">
        <v>205</v>
      </c>
      <c r="H16" s="353" t="s">
        <v>205</v>
      </c>
      <c r="I16" s="353" t="s">
        <v>205</v>
      </c>
      <c r="J16" s="353" t="s">
        <v>205</v>
      </c>
      <c r="K16" s="353" t="s">
        <v>205</v>
      </c>
      <c r="L16" s="353" t="s">
        <v>205</v>
      </c>
      <c r="M16" s="353" t="s">
        <v>205</v>
      </c>
      <c r="N16" s="158"/>
      <c r="O16" s="158"/>
      <c r="P16" s="158"/>
      <c r="Q16" s="232"/>
      <c r="R16" s="35"/>
      <c r="S16" s="35"/>
      <c r="T16" s="35"/>
      <c r="U16" s="35"/>
    </row>
    <row r="17" ht="13.5" customHeight="1">
      <c r="A17" s="35"/>
      <c r="B17" s="35"/>
      <c r="C17" s="347" t="s">
        <v>187</v>
      </c>
      <c r="D17" s="353" t="s">
        <v>221</v>
      </c>
      <c r="E17" s="353" t="s">
        <v>221</v>
      </c>
      <c r="F17" s="353" t="s">
        <v>221</v>
      </c>
      <c r="G17" s="353" t="s">
        <v>221</v>
      </c>
      <c r="H17" s="353" t="s">
        <v>221</v>
      </c>
      <c r="I17" s="353" t="s">
        <v>221</v>
      </c>
      <c r="J17" s="353" t="s">
        <v>221</v>
      </c>
      <c r="K17" s="353" t="s">
        <v>221</v>
      </c>
      <c r="L17" s="353" t="s">
        <v>221</v>
      </c>
      <c r="M17" s="353" t="s">
        <v>221</v>
      </c>
      <c r="N17" s="158"/>
      <c r="O17" s="158"/>
      <c r="P17" s="158"/>
      <c r="Q17" s="232"/>
      <c r="R17" s="35"/>
      <c r="S17" s="35"/>
      <c r="T17" s="35"/>
      <c r="U17" s="35"/>
    </row>
    <row r="18" ht="13.5" customHeight="1">
      <c r="A18" s="35"/>
      <c r="B18" s="35"/>
      <c r="C18" s="347" t="s">
        <v>189</v>
      </c>
      <c r="D18" s="354">
        <v>2.0</v>
      </c>
      <c r="E18" s="354">
        <v>2.0</v>
      </c>
      <c r="F18" s="354">
        <v>2.0</v>
      </c>
      <c r="G18" s="354">
        <v>2.0</v>
      </c>
      <c r="H18" s="354">
        <v>2.0</v>
      </c>
      <c r="I18" s="354">
        <v>2.0</v>
      </c>
      <c r="J18" s="354">
        <v>2.0</v>
      </c>
      <c r="K18" s="354">
        <v>2.0</v>
      </c>
      <c r="L18" s="354">
        <v>2.0</v>
      </c>
      <c r="M18" s="354">
        <v>2.0</v>
      </c>
      <c r="N18" s="158"/>
      <c r="O18" s="158"/>
      <c r="P18" s="158"/>
      <c r="Q18" s="232"/>
      <c r="R18" s="35"/>
      <c r="S18" s="35"/>
      <c r="T18" s="35"/>
      <c r="U18" s="35"/>
    </row>
    <row r="19" ht="13.5" customHeight="1">
      <c r="A19" s="35"/>
      <c r="B19" s="35"/>
      <c r="C19" s="347" t="s">
        <v>190</v>
      </c>
      <c r="D19" s="355">
        <v>45663.0</v>
      </c>
      <c r="E19" s="355">
        <v>45664.0</v>
      </c>
      <c r="F19" s="355">
        <v>45664.0</v>
      </c>
      <c r="G19" s="355">
        <v>45664.0</v>
      </c>
      <c r="H19" s="355">
        <v>45664.0</v>
      </c>
      <c r="I19" s="355">
        <v>45664.0</v>
      </c>
      <c r="J19" s="350"/>
      <c r="K19" s="350"/>
      <c r="L19" s="350"/>
      <c r="M19" s="350"/>
      <c r="N19" s="158"/>
      <c r="O19" s="158"/>
      <c r="P19" s="158"/>
      <c r="Q19" s="232"/>
      <c r="R19" s="35"/>
      <c r="S19" s="35"/>
      <c r="T19" s="35"/>
      <c r="U19" s="35"/>
    </row>
    <row r="20" ht="13.5" customHeight="1">
      <c r="A20" s="35"/>
      <c r="B20" s="35"/>
      <c r="C20" s="35"/>
      <c r="D20" s="35"/>
      <c r="E20" s="35"/>
      <c r="F20" s="275"/>
      <c r="G20" s="275"/>
      <c r="H20" s="275"/>
      <c r="I20" s="35"/>
      <c r="J20" s="35"/>
      <c r="K20" s="35"/>
      <c r="L20" s="35"/>
      <c r="M20" s="35"/>
      <c r="N20" s="35"/>
      <c r="O20" s="35"/>
      <c r="Q20" s="35"/>
      <c r="R20" s="35"/>
      <c r="S20" s="35"/>
      <c r="T20" s="35"/>
      <c r="U20" s="35"/>
    </row>
    <row r="21" ht="13.5" customHeight="1">
      <c r="A21" s="35"/>
      <c r="B21" s="35"/>
      <c r="C21" s="35"/>
      <c r="D21" s="35"/>
      <c r="E21" s="35"/>
      <c r="F21" s="275"/>
      <c r="G21" s="275"/>
      <c r="H21" s="275"/>
      <c r="I21" s="35"/>
      <c r="J21" s="35"/>
      <c r="K21" s="35"/>
      <c r="L21" s="35"/>
      <c r="M21" s="35"/>
      <c r="N21" s="35"/>
      <c r="O21" s="35"/>
      <c r="P21" s="35"/>
      <c r="Q21" s="35"/>
      <c r="R21" s="35"/>
      <c r="S21" s="35"/>
      <c r="T21" s="35"/>
      <c r="U21" s="35"/>
    </row>
    <row r="22" ht="13.5" customHeight="1">
      <c r="A22" s="35"/>
      <c r="B22" s="35"/>
      <c r="C22" s="356" t="s">
        <v>191</v>
      </c>
      <c r="D22" s="357"/>
      <c r="E22" s="357"/>
      <c r="F22" s="358"/>
      <c r="G22" s="358"/>
      <c r="H22" s="358"/>
      <c r="I22" s="357"/>
      <c r="J22" s="357"/>
      <c r="K22" s="357"/>
      <c r="L22" s="357"/>
      <c r="M22" s="357"/>
      <c r="N22" s="359" t="s">
        <v>163</v>
      </c>
      <c r="O22" s="35"/>
      <c r="P22" s="35"/>
      <c r="Q22" s="35"/>
      <c r="R22" s="35"/>
      <c r="S22" s="35"/>
      <c r="T22" s="35"/>
      <c r="U22" s="35"/>
    </row>
    <row r="23" ht="13.5" customHeight="1">
      <c r="A23" s="35"/>
      <c r="B23" s="35"/>
      <c r="C23" s="360" t="s">
        <v>192</v>
      </c>
      <c r="D23" s="361">
        <v>1.0</v>
      </c>
      <c r="E23" s="361">
        <v>1.0</v>
      </c>
      <c r="F23" s="362">
        <v>1.0</v>
      </c>
      <c r="G23" s="362">
        <v>1.0</v>
      </c>
      <c r="H23" s="362">
        <v>1.0</v>
      </c>
      <c r="I23" s="362">
        <v>1.0</v>
      </c>
      <c r="J23" s="362">
        <v>1.0</v>
      </c>
      <c r="K23" s="362">
        <v>1.0</v>
      </c>
      <c r="L23" s="362">
        <v>1.0</v>
      </c>
      <c r="M23" s="363">
        <v>1.0</v>
      </c>
      <c r="N23" s="364"/>
      <c r="O23" s="35"/>
      <c r="P23" s="35"/>
      <c r="Q23" s="35"/>
      <c r="R23" s="35"/>
      <c r="S23" s="35"/>
      <c r="T23" s="35"/>
      <c r="U23" s="35"/>
    </row>
    <row r="24" ht="13.5" customHeight="1">
      <c r="A24" s="35"/>
      <c r="B24" s="39"/>
      <c r="C24" s="365" t="s">
        <v>193</v>
      </c>
      <c r="D24" s="366">
        <f t="shared" ref="D24:M24" si="5">IFERROR((D10/D13)*D18,0)</f>
        <v>268.38</v>
      </c>
      <c r="E24" s="366">
        <f t="shared" si="5"/>
        <v>527.84</v>
      </c>
      <c r="F24" s="366">
        <f t="shared" si="5"/>
        <v>191.54</v>
      </c>
      <c r="G24" s="366">
        <f t="shared" si="5"/>
        <v>215.45</v>
      </c>
      <c r="H24" s="366">
        <f t="shared" si="5"/>
        <v>244.095</v>
      </c>
      <c r="I24" s="366">
        <f t="shared" si="5"/>
        <v>587.2</v>
      </c>
      <c r="J24" s="366">
        <f t="shared" si="5"/>
        <v>236.89</v>
      </c>
      <c r="K24" s="366">
        <f t="shared" si="5"/>
        <v>260.67</v>
      </c>
      <c r="L24" s="366">
        <f t="shared" si="5"/>
        <v>236.22</v>
      </c>
      <c r="M24" s="366">
        <f t="shared" si="5"/>
        <v>179.38</v>
      </c>
      <c r="N24" s="373">
        <f t="shared" ref="N24:N26" si="7">AVERAGE(D24:M24)</f>
        <v>294.7665</v>
      </c>
      <c r="O24" s="35"/>
      <c r="P24" s="35"/>
      <c r="Q24" s="35"/>
      <c r="R24" s="35"/>
      <c r="S24" s="35"/>
      <c r="T24" s="35"/>
      <c r="U24" s="35"/>
    </row>
    <row r="25" ht="13.5" customHeight="1">
      <c r="A25" s="35"/>
      <c r="B25" s="39"/>
      <c r="C25" s="365" t="s">
        <v>194</v>
      </c>
      <c r="D25" s="368">
        <f t="shared" ref="D25:M25" si="6">D23*D24</f>
        <v>268.38</v>
      </c>
      <c r="E25" s="368">
        <f t="shared" si="6"/>
        <v>527.84</v>
      </c>
      <c r="F25" s="368">
        <f t="shared" si="6"/>
        <v>191.54</v>
      </c>
      <c r="G25" s="368">
        <f t="shared" si="6"/>
        <v>215.45</v>
      </c>
      <c r="H25" s="368">
        <f t="shared" si="6"/>
        <v>244.095</v>
      </c>
      <c r="I25" s="368">
        <f t="shared" si="6"/>
        <v>587.2</v>
      </c>
      <c r="J25" s="368">
        <f t="shared" si="6"/>
        <v>236.89</v>
      </c>
      <c r="K25" s="368">
        <f t="shared" si="6"/>
        <v>260.67</v>
      </c>
      <c r="L25" s="368">
        <f t="shared" si="6"/>
        <v>236.22</v>
      </c>
      <c r="M25" s="368">
        <f t="shared" si="6"/>
        <v>179.38</v>
      </c>
      <c r="N25" s="373">
        <f t="shared" si="7"/>
        <v>294.7665</v>
      </c>
      <c r="O25" s="35"/>
      <c r="P25" s="35"/>
      <c r="Q25" s="35"/>
      <c r="R25" s="35"/>
      <c r="S25" s="35"/>
      <c r="T25" s="35"/>
      <c r="U25" s="35"/>
    </row>
    <row r="26" ht="13.5" customHeight="1">
      <c r="A26" s="35"/>
      <c r="B26" s="39"/>
      <c r="C26" s="365" t="s">
        <v>195</v>
      </c>
      <c r="D26" s="368">
        <f t="shared" ref="D26:M26" si="8">D25*(1+0.05)</f>
        <v>281.799</v>
      </c>
      <c r="E26" s="368">
        <f t="shared" si="8"/>
        <v>554.232</v>
      </c>
      <c r="F26" s="368">
        <f t="shared" si="8"/>
        <v>201.117</v>
      </c>
      <c r="G26" s="368">
        <f t="shared" si="8"/>
        <v>226.2225</v>
      </c>
      <c r="H26" s="368">
        <f t="shared" si="8"/>
        <v>256.29975</v>
      </c>
      <c r="I26" s="368">
        <f t="shared" si="8"/>
        <v>616.56</v>
      </c>
      <c r="J26" s="368">
        <f t="shared" si="8"/>
        <v>248.7345</v>
      </c>
      <c r="K26" s="368">
        <f t="shared" si="8"/>
        <v>273.7035</v>
      </c>
      <c r="L26" s="368">
        <f t="shared" si="8"/>
        <v>248.031</v>
      </c>
      <c r="M26" s="368">
        <f t="shared" si="8"/>
        <v>188.349</v>
      </c>
      <c r="N26" s="373">
        <f t="shared" si="7"/>
        <v>309.504825</v>
      </c>
      <c r="O26" s="35"/>
      <c r="P26" s="35"/>
      <c r="Q26" s="35"/>
      <c r="R26" s="35"/>
      <c r="S26" s="35"/>
      <c r="T26" s="35"/>
      <c r="U26" s="35"/>
    </row>
    <row r="27" ht="13.5" customHeight="1">
      <c r="A27" s="35"/>
      <c r="B27" s="39"/>
      <c r="C27" s="369" t="s">
        <v>196</v>
      </c>
      <c r="D27" s="370">
        <f t="shared" ref="D27:M27" si="9">Iferror(3600/D26,0)</f>
        <v>12.77506308</v>
      </c>
      <c r="E27" s="370">
        <f t="shared" si="9"/>
        <v>6.495474819</v>
      </c>
      <c r="F27" s="370">
        <f t="shared" si="9"/>
        <v>17.90002834</v>
      </c>
      <c r="G27" s="370">
        <f t="shared" si="9"/>
        <v>15.91353645</v>
      </c>
      <c r="H27" s="370">
        <f t="shared" si="9"/>
        <v>14.0460535</v>
      </c>
      <c r="I27" s="370">
        <f t="shared" si="9"/>
        <v>5.838847801</v>
      </c>
      <c r="J27" s="370">
        <f t="shared" si="9"/>
        <v>14.47326366</v>
      </c>
      <c r="K27" s="370">
        <f t="shared" si="9"/>
        <v>13.15291913</v>
      </c>
      <c r="L27" s="370">
        <f t="shared" si="9"/>
        <v>14.51431474</v>
      </c>
      <c r="M27" s="370">
        <f t="shared" si="9"/>
        <v>19.11345428</v>
      </c>
      <c r="N27" s="370">
        <f>IFerror(3600/N26,0)</f>
        <v>11.63148264</v>
      </c>
      <c r="O27" s="371"/>
      <c r="P27" s="35"/>
      <c r="Q27" s="35"/>
      <c r="R27" s="35"/>
      <c r="S27" s="35"/>
      <c r="T27" s="35"/>
      <c r="U27" s="35"/>
    </row>
    <row r="28" ht="13.5" customHeight="1">
      <c r="A28" s="35"/>
      <c r="B28" s="35"/>
      <c r="C28" s="275"/>
      <c r="D28" s="35"/>
      <c r="E28" s="35"/>
      <c r="F28" s="275"/>
      <c r="G28" s="275"/>
      <c r="H28" s="275"/>
      <c r="I28" s="35"/>
      <c r="J28" s="35"/>
      <c r="K28" s="35"/>
      <c r="L28" s="35"/>
      <c r="M28" s="35"/>
      <c r="N28" s="35"/>
      <c r="O28" s="35"/>
      <c r="P28" s="35"/>
      <c r="Q28" s="35"/>
      <c r="R28" s="35"/>
      <c r="S28" s="35"/>
      <c r="T28" s="35"/>
      <c r="U28" s="35"/>
    </row>
    <row r="29" ht="13.5" hidden="1" customHeight="1">
      <c r="A29" s="35"/>
      <c r="B29" s="35"/>
      <c r="C29" s="356" t="s">
        <v>197</v>
      </c>
      <c r="D29" s="35"/>
      <c r="E29" s="35"/>
      <c r="F29" s="275"/>
      <c r="G29" s="275"/>
      <c r="H29" s="275"/>
      <c r="I29" s="35"/>
      <c r="J29" s="35"/>
      <c r="K29" s="35"/>
      <c r="L29" s="35"/>
      <c r="M29" s="35"/>
      <c r="N29" s="359" t="s">
        <v>163</v>
      </c>
      <c r="O29" s="35"/>
      <c r="P29" s="35"/>
      <c r="Q29" s="35"/>
      <c r="R29" s="35"/>
      <c r="S29" s="35"/>
      <c r="T29" s="35"/>
      <c r="U29" s="35"/>
    </row>
    <row r="30" ht="13.5" hidden="1" customHeight="1">
      <c r="A30" s="35"/>
      <c r="B30" s="35"/>
      <c r="C30" s="360" t="s">
        <v>193</v>
      </c>
      <c r="D30" s="372">
        <f t="shared" ref="D30:M30" si="10">IFERROR((D10/D14)*D18,0)</f>
        <v>0</v>
      </c>
      <c r="E30" s="372">
        <f t="shared" si="10"/>
        <v>0</v>
      </c>
      <c r="F30" s="372">
        <f t="shared" si="10"/>
        <v>0</v>
      </c>
      <c r="G30" s="372">
        <f t="shared" si="10"/>
        <v>0</v>
      </c>
      <c r="H30" s="372">
        <f t="shared" si="10"/>
        <v>0</v>
      </c>
      <c r="I30" s="372">
        <f t="shared" si="10"/>
        <v>0</v>
      </c>
      <c r="J30" s="372">
        <f t="shared" si="10"/>
        <v>0</v>
      </c>
      <c r="K30" s="372">
        <f t="shared" si="10"/>
        <v>0</v>
      </c>
      <c r="L30" s="372">
        <f t="shared" si="10"/>
        <v>0</v>
      </c>
      <c r="M30" s="372">
        <f t="shared" si="10"/>
        <v>0</v>
      </c>
      <c r="N30" s="373">
        <f t="shared" ref="N30:N32" si="12">AVERAGE(D30:H30)</f>
        <v>0</v>
      </c>
      <c r="O30" s="158"/>
      <c r="P30" s="158"/>
      <c r="Q30" s="158"/>
      <c r="R30" s="35"/>
      <c r="S30" s="35"/>
      <c r="T30" s="35"/>
      <c r="U30" s="35"/>
    </row>
    <row r="31" ht="13.5" hidden="1" customHeight="1">
      <c r="A31" s="35"/>
      <c r="B31" s="35"/>
      <c r="C31" s="360" t="s">
        <v>194</v>
      </c>
      <c r="D31" s="374">
        <f t="shared" ref="D31:M31" si="11">D30*D23</f>
        <v>0</v>
      </c>
      <c r="E31" s="374">
        <f t="shared" si="11"/>
        <v>0</v>
      </c>
      <c r="F31" s="374">
        <f t="shared" si="11"/>
        <v>0</v>
      </c>
      <c r="G31" s="374">
        <f t="shared" si="11"/>
        <v>0</v>
      </c>
      <c r="H31" s="374">
        <f t="shared" si="11"/>
        <v>0</v>
      </c>
      <c r="I31" s="374">
        <f t="shared" si="11"/>
        <v>0</v>
      </c>
      <c r="J31" s="374">
        <f t="shared" si="11"/>
        <v>0</v>
      </c>
      <c r="K31" s="374">
        <f t="shared" si="11"/>
        <v>0</v>
      </c>
      <c r="L31" s="374">
        <f t="shared" si="11"/>
        <v>0</v>
      </c>
      <c r="M31" s="374">
        <f t="shared" si="11"/>
        <v>0</v>
      </c>
      <c r="N31" s="367">
        <f t="shared" si="12"/>
        <v>0</v>
      </c>
      <c r="O31" s="35"/>
      <c r="P31" s="158"/>
      <c r="T31" s="35"/>
      <c r="U31" s="35"/>
    </row>
    <row r="32" ht="13.5" hidden="1" customHeight="1">
      <c r="A32" s="35"/>
      <c r="B32" s="35"/>
      <c r="C32" s="360" t="s">
        <v>195</v>
      </c>
      <c r="D32" s="374">
        <f t="shared" ref="D32:M32" si="13">D31*(1+0.05)</f>
        <v>0</v>
      </c>
      <c r="E32" s="374">
        <f t="shared" si="13"/>
        <v>0</v>
      </c>
      <c r="F32" s="374">
        <f t="shared" si="13"/>
        <v>0</v>
      </c>
      <c r="G32" s="374">
        <f t="shared" si="13"/>
        <v>0</v>
      </c>
      <c r="H32" s="374">
        <f t="shared" si="13"/>
        <v>0</v>
      </c>
      <c r="I32" s="374">
        <f t="shared" si="13"/>
        <v>0</v>
      </c>
      <c r="J32" s="374">
        <f t="shared" si="13"/>
        <v>0</v>
      </c>
      <c r="K32" s="374">
        <f t="shared" si="13"/>
        <v>0</v>
      </c>
      <c r="L32" s="374">
        <f t="shared" si="13"/>
        <v>0</v>
      </c>
      <c r="M32" s="374">
        <f t="shared" si="13"/>
        <v>0</v>
      </c>
      <c r="N32" s="367">
        <f t="shared" si="12"/>
        <v>0</v>
      </c>
      <c r="O32" s="35"/>
      <c r="P32" s="35"/>
      <c r="Q32" s="158"/>
      <c r="R32" s="158"/>
      <c r="S32" s="158"/>
      <c r="T32" s="35"/>
      <c r="U32" s="35"/>
    </row>
    <row r="33" ht="13.5" hidden="1" customHeight="1">
      <c r="A33" s="35"/>
      <c r="B33" s="35"/>
      <c r="C33" s="375" t="s">
        <v>196</v>
      </c>
      <c r="D33" s="376">
        <f t="shared" ref="D33:N33" si="14">Iferror(3600/D32,0)</f>
        <v>0</v>
      </c>
      <c r="E33" s="376">
        <f t="shared" si="14"/>
        <v>0</v>
      </c>
      <c r="F33" s="376">
        <f t="shared" si="14"/>
        <v>0</v>
      </c>
      <c r="G33" s="376">
        <f t="shared" si="14"/>
        <v>0</v>
      </c>
      <c r="H33" s="376">
        <f t="shared" si="14"/>
        <v>0</v>
      </c>
      <c r="I33" s="376">
        <f t="shared" si="14"/>
        <v>0</v>
      </c>
      <c r="J33" s="376">
        <f t="shared" si="14"/>
        <v>0</v>
      </c>
      <c r="K33" s="376">
        <f t="shared" si="14"/>
        <v>0</v>
      </c>
      <c r="L33" s="376">
        <f t="shared" si="14"/>
        <v>0</v>
      </c>
      <c r="M33" s="376">
        <f t="shared" si="14"/>
        <v>0</v>
      </c>
      <c r="N33" s="376">
        <f t="shared" si="14"/>
        <v>0</v>
      </c>
      <c r="O33" s="35"/>
      <c r="P33" s="35"/>
      <c r="Q33" s="158"/>
      <c r="R33" s="158"/>
      <c r="S33" s="158"/>
      <c r="T33" s="35"/>
      <c r="U33" s="35"/>
    </row>
    <row r="34" ht="13.5" hidden="1" customHeight="1">
      <c r="A34" s="35"/>
      <c r="B34" s="35"/>
      <c r="C34" s="35"/>
      <c r="D34" s="35"/>
      <c r="E34" s="35"/>
      <c r="F34" s="275"/>
      <c r="G34" s="275"/>
      <c r="H34" s="275"/>
      <c r="I34" s="35"/>
      <c r="J34" s="35"/>
      <c r="K34" s="35"/>
      <c r="L34" s="35"/>
      <c r="M34" s="35"/>
      <c r="N34" s="35"/>
      <c r="O34" s="35"/>
      <c r="P34" s="35"/>
      <c r="Q34" s="35"/>
      <c r="R34" s="35"/>
      <c r="S34" s="35"/>
      <c r="T34" s="35"/>
      <c r="U34" s="35"/>
    </row>
    <row r="35" ht="13.5" customHeight="1">
      <c r="A35" s="35"/>
      <c r="B35" s="35"/>
      <c r="C35" s="377" t="s">
        <v>198</v>
      </c>
      <c r="D35" s="35"/>
      <c r="E35" s="35"/>
      <c r="F35" s="275"/>
      <c r="G35" s="275"/>
      <c r="H35" s="275"/>
      <c r="I35" s="35"/>
      <c r="J35" s="35"/>
      <c r="K35" s="35"/>
      <c r="L35" s="35"/>
      <c r="M35" s="35"/>
      <c r="N35" s="359" t="s">
        <v>163</v>
      </c>
      <c r="O35" s="35"/>
      <c r="P35" s="35"/>
      <c r="Q35" s="35"/>
      <c r="R35" s="35"/>
      <c r="S35" s="35"/>
      <c r="T35" s="35"/>
      <c r="U35" s="35"/>
    </row>
    <row r="36" ht="13.5" customHeight="1">
      <c r="A36" s="35"/>
      <c r="B36" s="35"/>
      <c r="C36" s="360" t="s">
        <v>193</v>
      </c>
      <c r="D36" s="372">
        <f t="shared" ref="D36:M36" si="15">IFERROR((D10/D15)*D18,0)</f>
        <v>0.7940236686</v>
      </c>
      <c r="E36" s="372">
        <f t="shared" si="15"/>
        <v>0.7487092199</v>
      </c>
      <c r="F36" s="372">
        <f t="shared" si="15"/>
        <v>12.76933333</v>
      </c>
      <c r="G36" s="372">
        <f t="shared" si="15"/>
        <v>1.584191176</v>
      </c>
      <c r="H36" s="372">
        <f t="shared" si="15"/>
        <v>6.974142857</v>
      </c>
      <c r="I36" s="372">
        <f t="shared" si="15"/>
        <v>2.29375</v>
      </c>
      <c r="J36" s="372">
        <f t="shared" si="15"/>
        <v>0.06731741972</v>
      </c>
      <c r="K36" s="372">
        <f t="shared" si="15"/>
        <v>0.06312386487</v>
      </c>
      <c r="L36" s="372">
        <f t="shared" si="15"/>
        <v>0.0429256769</v>
      </c>
      <c r="M36" s="372">
        <f t="shared" si="15"/>
        <v>0.06329569513</v>
      </c>
      <c r="N36" s="373">
        <f t="shared" ref="N36:N38" si="17">AVERAGE(D36:M36)</f>
        <v>2.540081291</v>
      </c>
      <c r="O36" s="158"/>
      <c r="P36" s="158"/>
      <c r="Q36" s="158"/>
      <c r="R36" s="35"/>
      <c r="S36" s="35"/>
      <c r="T36" s="35"/>
      <c r="U36" s="35"/>
    </row>
    <row r="37" ht="13.5" customHeight="1">
      <c r="A37" s="35"/>
      <c r="B37" s="35"/>
      <c r="C37" s="360" t="s">
        <v>194</v>
      </c>
      <c r="D37" s="374">
        <f t="shared" ref="D37:M37" si="16">D36*D23</f>
        <v>0.7940236686</v>
      </c>
      <c r="E37" s="374">
        <f t="shared" si="16"/>
        <v>0.7487092199</v>
      </c>
      <c r="F37" s="374">
        <f t="shared" si="16"/>
        <v>12.76933333</v>
      </c>
      <c r="G37" s="374">
        <f t="shared" si="16"/>
        <v>1.584191176</v>
      </c>
      <c r="H37" s="374">
        <f t="shared" si="16"/>
        <v>6.974142857</v>
      </c>
      <c r="I37" s="374">
        <f t="shared" si="16"/>
        <v>2.29375</v>
      </c>
      <c r="J37" s="374">
        <f t="shared" si="16"/>
        <v>0.06731741972</v>
      </c>
      <c r="K37" s="374">
        <f t="shared" si="16"/>
        <v>0.06312386487</v>
      </c>
      <c r="L37" s="374">
        <f t="shared" si="16"/>
        <v>0.0429256769</v>
      </c>
      <c r="M37" s="374">
        <f t="shared" si="16"/>
        <v>0.06329569513</v>
      </c>
      <c r="N37" s="373">
        <f t="shared" si="17"/>
        <v>2.540081291</v>
      </c>
      <c r="O37" s="35"/>
      <c r="P37" s="158"/>
      <c r="T37" s="35"/>
      <c r="U37" s="35"/>
    </row>
    <row r="38" ht="13.5" customHeight="1">
      <c r="A38" s="35"/>
      <c r="B38" s="35"/>
      <c r="C38" s="360" t="s">
        <v>195</v>
      </c>
      <c r="D38" s="374">
        <f t="shared" ref="D38:M38" si="18">D37*(1+0.05)</f>
        <v>0.8337248521</v>
      </c>
      <c r="E38" s="374">
        <f t="shared" si="18"/>
        <v>0.7861446809</v>
      </c>
      <c r="F38" s="374">
        <f t="shared" si="18"/>
        <v>13.4078</v>
      </c>
      <c r="G38" s="374">
        <f t="shared" si="18"/>
        <v>1.663400735</v>
      </c>
      <c r="H38" s="374">
        <f t="shared" si="18"/>
        <v>7.32285</v>
      </c>
      <c r="I38" s="374">
        <f t="shared" si="18"/>
        <v>2.4084375</v>
      </c>
      <c r="J38" s="374">
        <f t="shared" si="18"/>
        <v>0.07068329071</v>
      </c>
      <c r="K38" s="374">
        <f t="shared" si="18"/>
        <v>0.06628005812</v>
      </c>
      <c r="L38" s="374">
        <f t="shared" si="18"/>
        <v>0.04507196075</v>
      </c>
      <c r="M38" s="374">
        <f t="shared" si="18"/>
        <v>0.06646047989</v>
      </c>
      <c r="N38" s="373">
        <f t="shared" si="17"/>
        <v>2.667085356</v>
      </c>
      <c r="O38" s="35"/>
      <c r="P38" s="35"/>
      <c r="Q38" s="158"/>
      <c r="R38" s="158"/>
      <c r="S38" s="158"/>
      <c r="T38" s="35"/>
      <c r="U38" s="35"/>
    </row>
    <row r="39" ht="13.5" customHeight="1">
      <c r="A39" s="35"/>
      <c r="B39" s="35"/>
      <c r="C39" s="375" t="s">
        <v>196</v>
      </c>
      <c r="D39" s="376">
        <f t="shared" ref="D39:N39" si="19">IFERROR(3600/D38,0)</f>
        <v>4317.97132</v>
      </c>
      <c r="E39" s="376">
        <f t="shared" si="19"/>
        <v>4579.309748</v>
      </c>
      <c r="F39" s="376">
        <f t="shared" si="19"/>
        <v>268.5004251</v>
      </c>
      <c r="G39" s="376">
        <f t="shared" si="19"/>
        <v>2164.240957</v>
      </c>
      <c r="H39" s="376">
        <f t="shared" si="19"/>
        <v>491.6118724</v>
      </c>
      <c r="I39" s="376">
        <f t="shared" si="19"/>
        <v>1494.745037</v>
      </c>
      <c r="J39" s="376">
        <f t="shared" si="19"/>
        <v>50931.41482</v>
      </c>
      <c r="K39" s="376">
        <f t="shared" si="19"/>
        <v>54314.97953</v>
      </c>
      <c r="L39" s="376">
        <f t="shared" si="19"/>
        <v>79872.27403</v>
      </c>
      <c r="M39" s="376">
        <f t="shared" si="19"/>
        <v>54167.52943</v>
      </c>
      <c r="N39" s="376">
        <f t="shared" si="19"/>
        <v>1349.788072</v>
      </c>
      <c r="O39" s="35"/>
      <c r="P39" s="35"/>
      <c r="Q39" s="158"/>
      <c r="R39" s="158"/>
      <c r="S39" s="158"/>
      <c r="T39" s="35"/>
      <c r="U39" s="35"/>
    </row>
    <row r="40" ht="13.5" customHeight="1">
      <c r="A40" s="275"/>
      <c r="B40" s="378"/>
      <c r="C40" s="378"/>
      <c r="D40" s="378"/>
      <c r="E40" s="378"/>
      <c r="F40" s="378"/>
      <c r="G40" s="378"/>
      <c r="H40" s="378"/>
      <c r="I40" s="378"/>
      <c r="J40" s="378"/>
      <c r="K40" s="378"/>
      <c r="L40" s="378"/>
      <c r="M40" s="378"/>
      <c r="N40" s="378"/>
      <c r="O40" s="275"/>
      <c r="P40" s="275"/>
      <c r="Q40" s="275"/>
      <c r="R40" s="275"/>
      <c r="S40" s="275"/>
      <c r="T40" s="275"/>
      <c r="U40" s="27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O20:P20"/>
    <mergeCell ref="P31:S31"/>
    <mergeCell ref="P37:S37"/>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4" width="21.71"/>
    <col customWidth="1" min="5" max="5" width="22.57"/>
    <col customWidth="1" min="6" max="6" width="19.71"/>
    <col customWidth="1" min="7" max="7" width="22.0"/>
    <col customWidth="1" min="8" max="8" width="22.29"/>
    <col customWidth="1" min="9" max="9" width="19.86"/>
    <col customWidth="1" min="10" max="10" width="20.0"/>
    <col customWidth="1" min="11" max="11" width="19.86"/>
    <col customWidth="1" min="12" max="12" width="15.71"/>
    <col customWidth="1" min="13" max="13" width="20.29"/>
    <col customWidth="1" min="14" max="14" width="17.71"/>
    <col customWidth="1" min="15" max="15" width="8.71"/>
    <col customWidth="1" min="16" max="17" width="12.57"/>
    <col customWidth="1" min="18" max="18" width="13.71"/>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222</v>
      </c>
      <c r="C4" s="468"/>
      <c r="D4" s="469"/>
      <c r="E4" s="470" t="s">
        <v>223</v>
      </c>
      <c r="F4" s="468"/>
      <c r="G4" s="469"/>
      <c r="H4" s="471"/>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486" t="s">
        <v>163</v>
      </c>
      <c r="Q7" s="487" t="s">
        <v>164</v>
      </c>
      <c r="R7" s="488" t="s">
        <v>165</v>
      </c>
      <c r="S7" s="489" t="s">
        <v>166</v>
      </c>
      <c r="T7" s="490"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494"/>
      <c r="S8" s="495"/>
      <c r="T8" s="496"/>
      <c r="U8" s="260"/>
      <c r="V8" s="260"/>
      <c r="W8" s="260"/>
      <c r="X8" s="260"/>
      <c r="Y8" s="260"/>
      <c r="Z8" s="260"/>
    </row>
    <row r="9" ht="13.5" customHeight="1">
      <c r="A9" s="497"/>
      <c r="B9" s="498">
        <v>1.0</v>
      </c>
      <c r="C9" s="499" t="s">
        <v>235</v>
      </c>
      <c r="D9" s="500">
        <v>15.02</v>
      </c>
      <c r="E9" s="500">
        <v>12.1</v>
      </c>
      <c r="F9" s="500">
        <v>15.05</v>
      </c>
      <c r="G9" s="500">
        <v>8.29</v>
      </c>
      <c r="H9" s="500">
        <v>9.59</v>
      </c>
      <c r="I9" s="500">
        <v>7.61</v>
      </c>
      <c r="J9" s="500">
        <v>10.81</v>
      </c>
      <c r="K9" s="500">
        <v>24.04</v>
      </c>
      <c r="L9" s="500">
        <v>23.08</v>
      </c>
      <c r="M9" s="500">
        <v>17.27</v>
      </c>
      <c r="N9" s="501">
        <f>SUM(D9:M9)</f>
        <v>142.86</v>
      </c>
      <c r="O9" s="485"/>
      <c r="P9" s="502">
        <f>AVERAGE(D9:M9)</f>
        <v>14.286</v>
      </c>
      <c r="Q9" s="503">
        <f>MAX(D9:M9)</f>
        <v>24.04</v>
      </c>
      <c r="R9" s="504">
        <f>P9/$P$10</f>
        <v>1</v>
      </c>
      <c r="S9" s="505" t="s">
        <v>236</v>
      </c>
      <c r="T9" s="506" t="s">
        <v>237</v>
      </c>
      <c r="U9" s="497"/>
      <c r="V9" s="497"/>
      <c r="W9" s="497"/>
      <c r="X9" s="497"/>
      <c r="Y9" s="497"/>
      <c r="Z9" s="497"/>
    </row>
    <row r="10" ht="13.5" customHeight="1">
      <c r="A10" s="260"/>
      <c r="B10" s="507"/>
      <c r="C10" s="508" t="s">
        <v>180</v>
      </c>
      <c r="D10" s="509">
        <f t="shared" ref="D10:M10" si="1">SUM(D9)</f>
        <v>15.02</v>
      </c>
      <c r="E10" s="509">
        <f t="shared" si="1"/>
        <v>12.1</v>
      </c>
      <c r="F10" s="509">
        <f t="shared" si="1"/>
        <v>15.05</v>
      </c>
      <c r="G10" s="509">
        <f t="shared" si="1"/>
        <v>8.29</v>
      </c>
      <c r="H10" s="509">
        <f t="shared" si="1"/>
        <v>9.59</v>
      </c>
      <c r="I10" s="509">
        <f t="shared" si="1"/>
        <v>7.61</v>
      </c>
      <c r="J10" s="509">
        <f t="shared" si="1"/>
        <v>10.81</v>
      </c>
      <c r="K10" s="509">
        <f t="shared" si="1"/>
        <v>24.04</v>
      </c>
      <c r="L10" s="509">
        <f t="shared" si="1"/>
        <v>23.08</v>
      </c>
      <c r="M10" s="509">
        <f t="shared" si="1"/>
        <v>17.27</v>
      </c>
      <c r="N10" s="510">
        <f>SUM(D10:H10)</f>
        <v>60.05</v>
      </c>
      <c r="O10" s="479" t="s">
        <v>10</v>
      </c>
      <c r="P10" s="511">
        <f t="shared" ref="P10:Q10" si="2">SUM(P9)</f>
        <v>14.286</v>
      </c>
      <c r="Q10" s="512">
        <f t="shared" si="2"/>
        <v>24.04</v>
      </c>
      <c r="R10" s="513">
        <f>R9</f>
        <v>1</v>
      </c>
      <c r="S10" s="260"/>
      <c r="T10" s="260"/>
      <c r="U10" s="260"/>
      <c r="V10" s="260"/>
      <c r="W10" s="260"/>
      <c r="X10" s="260"/>
      <c r="Y10" s="260"/>
      <c r="Z10" s="260"/>
    </row>
    <row r="11" ht="13.5" customHeight="1">
      <c r="A11" s="260"/>
      <c r="B11" s="260"/>
      <c r="C11" s="514"/>
      <c r="D11" s="515"/>
      <c r="E11" s="515"/>
      <c r="F11" s="515"/>
      <c r="G11" s="515"/>
      <c r="H11" s="515"/>
      <c r="I11" s="515"/>
      <c r="J11" s="515"/>
      <c r="K11" s="515"/>
      <c r="L11" s="515"/>
      <c r="M11" s="515"/>
      <c r="N11" s="516">
        <f>N10/60</f>
        <v>1.000833333</v>
      </c>
      <c r="O11" s="479"/>
      <c r="P11" s="515"/>
      <c r="Q11" s="515"/>
      <c r="R11" s="479"/>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7" t="s">
        <v>182</v>
      </c>
      <c r="O12" s="479"/>
      <c r="P12" s="515"/>
      <c r="Q12" s="515"/>
      <c r="R12" s="479"/>
      <c r="S12" s="260"/>
      <c r="T12" s="260"/>
      <c r="U12" s="260"/>
      <c r="V12" s="260"/>
      <c r="W12" s="260"/>
      <c r="X12" s="260"/>
      <c r="Y12" s="260"/>
      <c r="Z12" s="260"/>
    </row>
    <row r="13" ht="13.5" customHeight="1">
      <c r="A13" s="260"/>
      <c r="B13" s="260"/>
      <c r="C13" s="518" t="s">
        <v>238</v>
      </c>
      <c r="D13" s="519">
        <v>6.52769168817375E14</v>
      </c>
      <c r="E13" s="519">
        <v>6.48731037520411E14</v>
      </c>
      <c r="F13" s="519" t="s">
        <v>239</v>
      </c>
      <c r="G13" s="519">
        <v>6.53929725248761E14</v>
      </c>
      <c r="H13" s="519">
        <v>6.49679077606601E14</v>
      </c>
      <c r="I13" s="519">
        <v>6.55153182002076E14</v>
      </c>
      <c r="J13" s="519">
        <v>6.5120142171183E14</v>
      </c>
      <c r="K13" s="519">
        <v>6.51417238599737E14</v>
      </c>
      <c r="L13" s="519">
        <v>6.55621515727965E14</v>
      </c>
      <c r="M13" s="519">
        <v>6.51527644528572E14</v>
      </c>
      <c r="N13" s="520"/>
      <c r="O13" s="479"/>
      <c r="P13" s="479"/>
      <c r="Q13" s="521"/>
      <c r="R13" s="260"/>
      <c r="S13" s="260"/>
      <c r="T13" s="260"/>
      <c r="U13" s="260"/>
      <c r="V13" s="260"/>
      <c r="W13" s="260"/>
      <c r="X13" s="260"/>
      <c r="Y13" s="260"/>
      <c r="Z13" s="260"/>
    </row>
    <row r="14" ht="13.5" customHeight="1">
      <c r="A14" s="260"/>
      <c r="B14" s="260"/>
      <c r="C14" s="518" t="s">
        <v>240</v>
      </c>
      <c r="D14" s="522">
        <v>5.0</v>
      </c>
      <c r="E14" s="522">
        <v>2.0</v>
      </c>
      <c r="F14" s="522">
        <v>4.0</v>
      </c>
      <c r="G14" s="522">
        <v>2.0</v>
      </c>
      <c r="H14" s="522">
        <v>2.0</v>
      </c>
      <c r="I14" s="523">
        <v>6.0</v>
      </c>
      <c r="J14" s="523">
        <v>2.0</v>
      </c>
      <c r="K14" s="523">
        <v>4.0</v>
      </c>
      <c r="L14" s="523">
        <v>2.0</v>
      </c>
      <c r="M14" s="523">
        <v>2.0</v>
      </c>
      <c r="N14" s="520"/>
      <c r="O14" s="479"/>
      <c r="P14" s="479"/>
      <c r="Q14" s="521"/>
      <c r="R14" s="260"/>
      <c r="S14" s="260"/>
      <c r="T14" s="260"/>
      <c r="U14" s="260"/>
      <c r="V14" s="260"/>
      <c r="W14" s="260"/>
      <c r="X14" s="260"/>
      <c r="Y14" s="260"/>
      <c r="Z14" s="260"/>
    </row>
    <row r="15" ht="13.5" customHeight="1">
      <c r="A15" s="260"/>
      <c r="B15" s="260"/>
      <c r="C15" s="524" t="s">
        <v>241</v>
      </c>
      <c r="D15" s="522">
        <v>1.0</v>
      </c>
      <c r="E15" s="522">
        <v>1.0</v>
      </c>
      <c r="F15" s="522">
        <v>1.0</v>
      </c>
      <c r="G15" s="522">
        <v>1.0</v>
      </c>
      <c r="H15" s="522">
        <v>1.0</v>
      </c>
      <c r="I15" s="522">
        <v>1.0</v>
      </c>
      <c r="J15" s="522">
        <v>1.0</v>
      </c>
      <c r="K15" s="522">
        <v>1.0</v>
      </c>
      <c r="L15" s="522">
        <v>1.0</v>
      </c>
      <c r="M15" s="522">
        <v>1.0</v>
      </c>
      <c r="N15" s="520"/>
      <c r="O15" s="479"/>
      <c r="P15" s="479"/>
      <c r="Q15" s="521"/>
      <c r="R15" s="260"/>
      <c r="S15" s="260"/>
      <c r="T15" s="260"/>
      <c r="U15" s="260"/>
      <c r="V15" s="260"/>
      <c r="W15" s="260"/>
      <c r="X15" s="260"/>
      <c r="Y15" s="260"/>
      <c r="Z15" s="260"/>
    </row>
    <row r="16" ht="13.5" customHeight="1">
      <c r="A16" s="260"/>
      <c r="B16" s="260"/>
      <c r="C16" s="518" t="s">
        <v>187</v>
      </c>
      <c r="D16" s="522" t="s">
        <v>242</v>
      </c>
      <c r="E16" s="522" t="s">
        <v>242</v>
      </c>
      <c r="F16" s="522" t="s">
        <v>242</v>
      </c>
      <c r="G16" s="522" t="s">
        <v>242</v>
      </c>
      <c r="H16" s="522" t="s">
        <v>242</v>
      </c>
      <c r="I16" s="522" t="s">
        <v>242</v>
      </c>
      <c r="J16" s="522" t="s">
        <v>242</v>
      </c>
      <c r="K16" s="522" t="s">
        <v>242</v>
      </c>
      <c r="L16" s="522" t="s">
        <v>242</v>
      </c>
      <c r="M16" s="522" t="s">
        <v>242</v>
      </c>
      <c r="N16" s="520"/>
      <c r="O16" s="479"/>
      <c r="P16" s="479"/>
      <c r="Q16" s="521"/>
      <c r="R16" s="260"/>
      <c r="S16" s="260"/>
      <c r="T16" s="260"/>
      <c r="U16" s="260"/>
      <c r="V16" s="260"/>
      <c r="W16" s="260"/>
      <c r="X16" s="260"/>
      <c r="Y16" s="260"/>
      <c r="Z16" s="260"/>
    </row>
    <row r="17" ht="13.5" customHeight="1">
      <c r="A17" s="260"/>
      <c r="B17" s="260"/>
      <c r="C17" s="518" t="s">
        <v>243</v>
      </c>
      <c r="D17" s="525" t="s">
        <v>244</v>
      </c>
      <c r="E17" s="525" t="s">
        <v>244</v>
      </c>
      <c r="F17" s="525" t="s">
        <v>245</v>
      </c>
      <c r="G17" s="525" t="s">
        <v>245</v>
      </c>
      <c r="H17" s="526" t="s">
        <v>246</v>
      </c>
      <c r="I17" s="525" t="s">
        <v>247</v>
      </c>
      <c r="J17" s="525" t="s">
        <v>247</v>
      </c>
      <c r="K17" s="525" t="s">
        <v>248</v>
      </c>
      <c r="L17" s="525" t="s">
        <v>248</v>
      </c>
      <c r="M17" s="525" t="s">
        <v>248</v>
      </c>
      <c r="N17" s="520"/>
      <c r="O17" s="479"/>
      <c r="P17" s="479"/>
      <c r="Q17" s="521"/>
      <c r="R17" s="260"/>
      <c r="S17" s="260"/>
      <c r="T17" s="260"/>
      <c r="U17" s="260"/>
      <c r="V17" s="260"/>
      <c r="W17" s="260"/>
      <c r="X17" s="260"/>
      <c r="Y17" s="260"/>
      <c r="Z17" s="260"/>
    </row>
    <row r="18" ht="13.5" customHeight="1">
      <c r="A18" s="260"/>
      <c r="B18" s="260"/>
      <c r="C18" s="518" t="s">
        <v>249</v>
      </c>
      <c r="D18" s="527"/>
      <c r="E18" s="528" t="s">
        <v>250</v>
      </c>
      <c r="F18" s="528" t="s">
        <v>251</v>
      </c>
      <c r="G18" s="528"/>
      <c r="H18" s="528" t="s">
        <v>252</v>
      </c>
      <c r="I18" s="527"/>
      <c r="J18" s="529" t="s">
        <v>253</v>
      </c>
      <c r="K18" s="527" t="s">
        <v>251</v>
      </c>
      <c r="L18" s="529" t="s">
        <v>252</v>
      </c>
      <c r="M18" s="530"/>
      <c r="N18" s="520"/>
      <c r="O18" s="479"/>
      <c r="P18" s="479"/>
      <c r="Q18" s="521"/>
      <c r="R18" s="260"/>
      <c r="S18" s="260"/>
      <c r="T18" s="260"/>
      <c r="U18" s="260"/>
      <c r="V18" s="260"/>
      <c r="W18" s="260"/>
      <c r="X18" s="260"/>
      <c r="Y18" s="260"/>
      <c r="Z18" s="260"/>
    </row>
    <row r="19" ht="13.5" customHeight="1">
      <c r="A19" s="260"/>
      <c r="B19" s="260"/>
      <c r="C19" s="518" t="s">
        <v>190</v>
      </c>
      <c r="D19" s="526" t="s">
        <v>254</v>
      </c>
      <c r="E19" s="526" t="s">
        <v>255</v>
      </c>
      <c r="F19" s="522" t="s">
        <v>256</v>
      </c>
      <c r="G19" s="522" t="s">
        <v>257</v>
      </c>
      <c r="H19" s="522" t="s">
        <v>258</v>
      </c>
      <c r="I19" s="526" t="s">
        <v>259</v>
      </c>
      <c r="J19" s="531" t="s">
        <v>260</v>
      </c>
      <c r="K19" s="526" t="s">
        <v>261</v>
      </c>
      <c r="L19" s="531" t="s">
        <v>262</v>
      </c>
      <c r="M19" s="523" t="s">
        <v>263</v>
      </c>
      <c r="N19" s="520"/>
      <c r="O19" s="479"/>
      <c r="P19" s="479"/>
      <c r="Q19" s="521"/>
      <c r="R19" s="260"/>
      <c r="S19" s="260"/>
      <c r="T19" s="260"/>
      <c r="U19" s="260"/>
      <c r="V19" s="260"/>
      <c r="W19" s="260"/>
      <c r="X19" s="260"/>
      <c r="Y19" s="260"/>
      <c r="Z19" s="260"/>
    </row>
    <row r="20" ht="13.5" customHeight="1">
      <c r="A20" s="260"/>
      <c r="B20" s="260"/>
      <c r="C20" s="514"/>
      <c r="D20" s="479"/>
      <c r="E20" s="479"/>
      <c r="F20" s="479"/>
      <c r="G20" s="479"/>
      <c r="H20" s="479"/>
      <c r="I20" s="479"/>
      <c r="J20" s="479"/>
      <c r="K20" s="479"/>
      <c r="L20" s="479"/>
      <c r="M20" s="479"/>
      <c r="N20" s="520"/>
      <c r="O20" s="479"/>
      <c r="P20" s="479"/>
      <c r="Q20" s="521"/>
      <c r="R20" s="260"/>
      <c r="S20" s="260"/>
      <c r="T20" s="260"/>
      <c r="U20" s="260"/>
      <c r="V20" s="260"/>
      <c r="W20" s="260"/>
      <c r="X20" s="260"/>
      <c r="Y20" s="260"/>
      <c r="Z20" s="260"/>
    </row>
    <row r="21" ht="13.5" customHeight="1">
      <c r="A21" s="532"/>
      <c r="B21" s="532"/>
      <c r="C21" s="533" t="s">
        <v>264</v>
      </c>
      <c r="D21" s="532"/>
      <c r="E21" s="532"/>
      <c r="F21" s="532"/>
      <c r="G21" s="532"/>
      <c r="H21" s="532"/>
      <c r="I21" s="532"/>
      <c r="J21" s="532"/>
      <c r="K21" s="532"/>
      <c r="L21" s="532"/>
      <c r="M21" s="532"/>
      <c r="N21" s="534" t="s">
        <v>163</v>
      </c>
      <c r="O21" s="535"/>
      <c r="P21" s="535"/>
      <c r="Q21" s="535"/>
      <c r="R21" s="536"/>
      <c r="S21" s="536"/>
      <c r="T21" s="532"/>
      <c r="U21" s="532"/>
      <c r="V21" s="532"/>
      <c r="W21" s="532"/>
      <c r="X21" s="532"/>
      <c r="Y21" s="532"/>
      <c r="Z21" s="532"/>
    </row>
    <row r="22" ht="13.5" customHeight="1">
      <c r="A22" s="260"/>
      <c r="B22" s="260"/>
      <c r="C22" s="537" t="s">
        <v>192</v>
      </c>
      <c r="D22" s="538">
        <v>1.0</v>
      </c>
      <c r="E22" s="538">
        <v>1.0</v>
      </c>
      <c r="F22" s="538">
        <v>1.0</v>
      </c>
      <c r="G22" s="538">
        <v>2.0</v>
      </c>
      <c r="H22" s="538">
        <v>1.5</v>
      </c>
      <c r="I22" s="538">
        <v>2.0</v>
      </c>
      <c r="J22" s="538">
        <v>1.5</v>
      </c>
      <c r="K22" s="538">
        <v>1.0</v>
      </c>
      <c r="L22" s="538">
        <v>1.0</v>
      </c>
      <c r="M22" s="538">
        <v>1.0</v>
      </c>
      <c r="N22" s="538">
        <f t="shared" ref="N22:N25" si="4">AVERAGE(D22:M22)</f>
        <v>1.3</v>
      </c>
      <c r="O22" s="539"/>
      <c r="P22" s="540"/>
      <c r="T22" s="260"/>
      <c r="U22" s="260"/>
      <c r="V22" s="260"/>
      <c r="W22" s="260"/>
      <c r="X22" s="260"/>
      <c r="Y22" s="260"/>
      <c r="Z22" s="260"/>
    </row>
    <row r="23" ht="13.5" customHeight="1">
      <c r="A23" s="260"/>
      <c r="B23" s="260"/>
      <c r="C23" s="537" t="s">
        <v>193</v>
      </c>
      <c r="D23" s="541">
        <f t="shared" ref="D23:M23" si="3">D$10/D15</f>
        <v>15.02</v>
      </c>
      <c r="E23" s="541">
        <f t="shared" si="3"/>
        <v>12.1</v>
      </c>
      <c r="F23" s="541">
        <f t="shared" si="3"/>
        <v>15.05</v>
      </c>
      <c r="G23" s="541">
        <f t="shared" si="3"/>
        <v>8.29</v>
      </c>
      <c r="H23" s="541">
        <f t="shared" si="3"/>
        <v>9.59</v>
      </c>
      <c r="I23" s="541">
        <f t="shared" si="3"/>
        <v>7.61</v>
      </c>
      <c r="J23" s="541">
        <f t="shared" si="3"/>
        <v>10.81</v>
      </c>
      <c r="K23" s="541">
        <f t="shared" si="3"/>
        <v>24.04</v>
      </c>
      <c r="L23" s="541">
        <f t="shared" si="3"/>
        <v>23.08</v>
      </c>
      <c r="M23" s="541">
        <f t="shared" si="3"/>
        <v>17.27</v>
      </c>
      <c r="N23" s="500">
        <f t="shared" si="4"/>
        <v>14.286</v>
      </c>
      <c r="O23" s="539"/>
      <c r="P23" s="542"/>
      <c r="Q23" s="540"/>
      <c r="R23" s="540"/>
      <c r="S23" s="540"/>
      <c r="T23" s="260"/>
      <c r="U23" s="260"/>
      <c r="V23" s="260"/>
      <c r="W23" s="260"/>
      <c r="X23" s="260"/>
      <c r="Y23" s="260"/>
      <c r="Z23" s="260"/>
    </row>
    <row r="24" ht="13.5" customHeight="1">
      <c r="A24" s="260"/>
      <c r="B24" s="260"/>
      <c r="C24" s="537" t="s">
        <v>194</v>
      </c>
      <c r="D24" s="500">
        <f t="shared" ref="D24:M24" si="5">D23*D$22</f>
        <v>15.02</v>
      </c>
      <c r="E24" s="500">
        <f t="shared" si="5"/>
        <v>12.1</v>
      </c>
      <c r="F24" s="500">
        <f t="shared" si="5"/>
        <v>15.05</v>
      </c>
      <c r="G24" s="500">
        <f t="shared" si="5"/>
        <v>16.58</v>
      </c>
      <c r="H24" s="500">
        <f t="shared" si="5"/>
        <v>14.385</v>
      </c>
      <c r="I24" s="500">
        <f t="shared" si="5"/>
        <v>15.22</v>
      </c>
      <c r="J24" s="500">
        <f t="shared" si="5"/>
        <v>16.215</v>
      </c>
      <c r="K24" s="500">
        <f t="shared" si="5"/>
        <v>24.04</v>
      </c>
      <c r="L24" s="500">
        <f t="shared" si="5"/>
        <v>23.08</v>
      </c>
      <c r="M24" s="500">
        <f t="shared" si="5"/>
        <v>17.27</v>
      </c>
      <c r="N24" s="500">
        <f t="shared" si="4"/>
        <v>16.896</v>
      </c>
      <c r="O24" s="539"/>
      <c r="P24" s="542"/>
      <c r="Q24" s="540"/>
      <c r="R24" s="540"/>
      <c r="S24" s="540"/>
      <c r="T24" s="260"/>
      <c r="U24" s="260"/>
      <c r="V24" s="260"/>
      <c r="W24" s="260"/>
      <c r="X24" s="260"/>
      <c r="Y24" s="260"/>
      <c r="Z24" s="260"/>
    </row>
    <row r="25" ht="13.5" customHeight="1">
      <c r="A25" s="260"/>
      <c r="B25" s="260"/>
      <c r="C25" s="537" t="s">
        <v>195</v>
      </c>
      <c r="D25" s="500">
        <f t="shared" ref="D25:M25" si="6">D24*(1+0.05)</f>
        <v>15.771</v>
      </c>
      <c r="E25" s="500">
        <f t="shared" si="6"/>
        <v>12.705</v>
      </c>
      <c r="F25" s="500">
        <f t="shared" si="6"/>
        <v>15.8025</v>
      </c>
      <c r="G25" s="500">
        <f t="shared" si="6"/>
        <v>17.409</v>
      </c>
      <c r="H25" s="500">
        <f t="shared" si="6"/>
        <v>15.10425</v>
      </c>
      <c r="I25" s="500">
        <f t="shared" si="6"/>
        <v>15.981</v>
      </c>
      <c r="J25" s="500">
        <f t="shared" si="6"/>
        <v>17.02575</v>
      </c>
      <c r="K25" s="500">
        <f t="shared" si="6"/>
        <v>25.242</v>
      </c>
      <c r="L25" s="500">
        <f t="shared" si="6"/>
        <v>24.234</v>
      </c>
      <c r="M25" s="500">
        <f t="shared" si="6"/>
        <v>18.1335</v>
      </c>
      <c r="N25" s="500">
        <f t="shared" si="4"/>
        <v>17.7408</v>
      </c>
      <c r="O25" s="543"/>
      <c r="P25" s="543"/>
      <c r="Q25" s="543"/>
      <c r="R25" s="543"/>
      <c r="S25" s="539"/>
      <c r="T25" s="260"/>
      <c r="U25" s="260"/>
      <c r="V25" s="260"/>
      <c r="W25" s="260"/>
      <c r="X25" s="260"/>
      <c r="Y25" s="260"/>
      <c r="Z25" s="260"/>
    </row>
    <row r="26" ht="13.5" customHeight="1">
      <c r="A26" s="260"/>
      <c r="B26" s="260"/>
      <c r="C26" s="544" t="s">
        <v>196</v>
      </c>
      <c r="D26" s="545">
        <f t="shared" ref="D26:N26" si="7">3600/D25</f>
        <v>228.2670725</v>
      </c>
      <c r="E26" s="545">
        <f t="shared" si="7"/>
        <v>283.3530106</v>
      </c>
      <c r="F26" s="545">
        <f t="shared" si="7"/>
        <v>227.8120551</v>
      </c>
      <c r="G26" s="545">
        <f t="shared" si="7"/>
        <v>206.7895916</v>
      </c>
      <c r="H26" s="545">
        <f t="shared" si="7"/>
        <v>238.3435126</v>
      </c>
      <c r="I26" s="545">
        <f t="shared" si="7"/>
        <v>225.2675052</v>
      </c>
      <c r="J26" s="545">
        <f t="shared" si="7"/>
        <v>211.4444298</v>
      </c>
      <c r="K26" s="545">
        <f t="shared" si="7"/>
        <v>142.6194438</v>
      </c>
      <c r="L26" s="545">
        <f t="shared" si="7"/>
        <v>148.5516217</v>
      </c>
      <c r="M26" s="545">
        <f t="shared" si="7"/>
        <v>198.5275871</v>
      </c>
      <c r="N26" s="546">
        <f t="shared" si="7"/>
        <v>202.9220779</v>
      </c>
      <c r="O26" s="547"/>
      <c r="Q26" s="547"/>
      <c r="R26" s="547"/>
      <c r="S26" s="260"/>
      <c r="T26" s="260"/>
      <c r="U26" s="260"/>
      <c r="V26" s="260"/>
      <c r="W26" s="260"/>
      <c r="X26" s="260"/>
      <c r="Y26" s="260"/>
      <c r="Z26" s="260"/>
    </row>
    <row r="27" ht="13.5" customHeight="1">
      <c r="A27" s="260"/>
      <c r="B27" s="260"/>
      <c r="C27" s="260"/>
      <c r="D27" s="260"/>
      <c r="E27" s="260"/>
      <c r="F27" s="260"/>
      <c r="G27" s="260"/>
      <c r="H27" s="260"/>
      <c r="I27" s="260"/>
      <c r="J27" s="260"/>
      <c r="K27" s="260"/>
      <c r="L27" s="260"/>
      <c r="M27" s="260"/>
      <c r="N27" s="260"/>
      <c r="O27" s="547"/>
      <c r="Q27" s="547"/>
      <c r="R27" s="547"/>
      <c r="S27" s="260"/>
      <c r="T27" s="260"/>
      <c r="U27" s="260"/>
      <c r="V27" s="260"/>
      <c r="W27" s="260"/>
      <c r="X27" s="260"/>
      <c r="Y27" s="260"/>
      <c r="Z27" s="260"/>
    </row>
    <row r="28" ht="13.5" customHeight="1">
      <c r="A28" s="260"/>
      <c r="B28" s="260"/>
      <c r="C28" s="548" t="s">
        <v>265</v>
      </c>
      <c r="D28" s="532"/>
      <c r="E28" s="532"/>
      <c r="F28" s="532"/>
      <c r="G28" s="532"/>
      <c r="H28" s="532"/>
      <c r="I28" s="532"/>
      <c r="J28" s="532"/>
      <c r="K28" s="532"/>
      <c r="L28" s="532"/>
      <c r="M28" s="532"/>
      <c r="N28" s="534" t="s">
        <v>163</v>
      </c>
      <c r="O28" s="260"/>
      <c r="P28" s="260"/>
      <c r="Q28" s="260"/>
      <c r="R28" s="260"/>
      <c r="S28" s="260"/>
      <c r="T28" s="260"/>
      <c r="U28" s="260"/>
      <c r="V28" s="260"/>
      <c r="W28" s="260"/>
      <c r="X28" s="260"/>
      <c r="Y28" s="260"/>
      <c r="Z28" s="260"/>
    </row>
    <row r="29" ht="13.5" customHeight="1">
      <c r="A29" s="260"/>
      <c r="B29" s="260"/>
      <c r="C29" s="537" t="s">
        <v>193</v>
      </c>
      <c r="D29" s="541">
        <f t="shared" ref="D29:M29" si="8">D$10/D$14</f>
        <v>3.004</v>
      </c>
      <c r="E29" s="541">
        <f t="shared" si="8"/>
        <v>6.05</v>
      </c>
      <c r="F29" s="541">
        <f t="shared" si="8"/>
        <v>3.7625</v>
      </c>
      <c r="G29" s="541">
        <f t="shared" si="8"/>
        <v>4.145</v>
      </c>
      <c r="H29" s="541">
        <f t="shared" si="8"/>
        <v>4.795</v>
      </c>
      <c r="I29" s="541">
        <f t="shared" si="8"/>
        <v>1.268333333</v>
      </c>
      <c r="J29" s="541">
        <f t="shared" si="8"/>
        <v>5.405</v>
      </c>
      <c r="K29" s="541">
        <f t="shared" si="8"/>
        <v>6.01</v>
      </c>
      <c r="L29" s="541">
        <f t="shared" si="8"/>
        <v>11.54</v>
      </c>
      <c r="M29" s="541">
        <f t="shared" si="8"/>
        <v>8.635</v>
      </c>
      <c r="N29" s="500">
        <f t="shared" ref="N29:N31" si="10">AVERAGE(D29:M29)</f>
        <v>5.461483333</v>
      </c>
      <c r="O29" s="260"/>
      <c r="P29" s="260"/>
      <c r="Q29" s="260"/>
      <c r="R29" s="260"/>
      <c r="S29" s="260"/>
      <c r="T29" s="260"/>
      <c r="U29" s="260"/>
      <c r="V29" s="260"/>
      <c r="W29" s="260"/>
      <c r="X29" s="260"/>
      <c r="Y29" s="260"/>
      <c r="Z29" s="260"/>
    </row>
    <row r="30" ht="13.5" customHeight="1">
      <c r="A30" s="260"/>
      <c r="B30" s="260"/>
      <c r="C30" s="537" t="s">
        <v>194</v>
      </c>
      <c r="D30" s="500">
        <f t="shared" ref="D30:M30" si="9">D29*D$22</f>
        <v>3.004</v>
      </c>
      <c r="E30" s="500">
        <f t="shared" si="9"/>
        <v>6.05</v>
      </c>
      <c r="F30" s="500">
        <f t="shared" si="9"/>
        <v>3.7625</v>
      </c>
      <c r="G30" s="500">
        <f t="shared" si="9"/>
        <v>8.29</v>
      </c>
      <c r="H30" s="500">
        <f t="shared" si="9"/>
        <v>7.1925</v>
      </c>
      <c r="I30" s="500">
        <f t="shared" si="9"/>
        <v>2.536666667</v>
      </c>
      <c r="J30" s="500">
        <f t="shared" si="9"/>
        <v>8.1075</v>
      </c>
      <c r="K30" s="500">
        <f t="shared" si="9"/>
        <v>6.01</v>
      </c>
      <c r="L30" s="500">
        <f t="shared" si="9"/>
        <v>11.54</v>
      </c>
      <c r="M30" s="500">
        <f t="shared" si="9"/>
        <v>8.635</v>
      </c>
      <c r="N30" s="500">
        <f t="shared" si="10"/>
        <v>6.512816667</v>
      </c>
      <c r="O30" s="260"/>
      <c r="P30" s="260"/>
      <c r="Q30" s="260"/>
      <c r="R30" s="260"/>
      <c r="S30" s="260"/>
      <c r="T30" s="260"/>
      <c r="U30" s="260"/>
      <c r="V30" s="260"/>
      <c r="W30" s="260"/>
      <c r="X30" s="260"/>
      <c r="Y30" s="260"/>
      <c r="Z30" s="260"/>
    </row>
    <row r="31" ht="13.5" customHeight="1">
      <c r="A31" s="260"/>
      <c r="B31" s="260"/>
      <c r="C31" s="537" t="s">
        <v>195</v>
      </c>
      <c r="D31" s="500">
        <f t="shared" ref="D31:M31" si="11">D30*(1+0.05)</f>
        <v>3.1542</v>
      </c>
      <c r="E31" s="500">
        <f t="shared" si="11"/>
        <v>6.3525</v>
      </c>
      <c r="F31" s="500">
        <f t="shared" si="11"/>
        <v>3.950625</v>
      </c>
      <c r="G31" s="500">
        <f t="shared" si="11"/>
        <v>8.7045</v>
      </c>
      <c r="H31" s="500">
        <f t="shared" si="11"/>
        <v>7.552125</v>
      </c>
      <c r="I31" s="500">
        <f t="shared" si="11"/>
        <v>2.6635</v>
      </c>
      <c r="J31" s="500">
        <f t="shared" si="11"/>
        <v>8.512875</v>
      </c>
      <c r="K31" s="500">
        <f t="shared" si="11"/>
        <v>6.3105</v>
      </c>
      <c r="L31" s="500">
        <f t="shared" si="11"/>
        <v>12.117</v>
      </c>
      <c r="M31" s="500">
        <f t="shared" si="11"/>
        <v>9.06675</v>
      </c>
      <c r="N31" s="500">
        <f t="shared" si="10"/>
        <v>6.8384575</v>
      </c>
      <c r="O31" s="260"/>
      <c r="P31" s="260"/>
      <c r="Q31" s="260"/>
      <c r="R31" s="260"/>
      <c r="S31" s="260"/>
      <c r="T31" s="260"/>
      <c r="U31" s="260"/>
      <c r="V31" s="260"/>
      <c r="W31" s="260"/>
      <c r="X31" s="260"/>
      <c r="Y31" s="260"/>
      <c r="Z31" s="260"/>
    </row>
    <row r="32" ht="13.5" customHeight="1">
      <c r="A32" s="260"/>
      <c r="B32" s="260"/>
      <c r="C32" s="544" t="s">
        <v>196</v>
      </c>
      <c r="D32" s="545">
        <f t="shared" ref="D32:N32" si="12">3600/D31</f>
        <v>1141.335362</v>
      </c>
      <c r="E32" s="545">
        <f t="shared" si="12"/>
        <v>566.7060213</v>
      </c>
      <c r="F32" s="545">
        <f t="shared" si="12"/>
        <v>911.2482202</v>
      </c>
      <c r="G32" s="545">
        <f t="shared" si="12"/>
        <v>413.5791832</v>
      </c>
      <c r="H32" s="545">
        <f t="shared" si="12"/>
        <v>476.6870252</v>
      </c>
      <c r="I32" s="545">
        <f t="shared" si="12"/>
        <v>1351.605031</v>
      </c>
      <c r="J32" s="545">
        <f t="shared" si="12"/>
        <v>422.8888595</v>
      </c>
      <c r="K32" s="545">
        <f t="shared" si="12"/>
        <v>570.4777751</v>
      </c>
      <c r="L32" s="545">
        <f t="shared" si="12"/>
        <v>297.1032434</v>
      </c>
      <c r="M32" s="545">
        <f t="shared" si="12"/>
        <v>397.0551741</v>
      </c>
      <c r="N32" s="545">
        <f t="shared" si="12"/>
        <v>526.4345066</v>
      </c>
      <c r="O32" s="260"/>
      <c r="P32" s="260"/>
      <c r="Q32" s="260"/>
      <c r="R32" s="260"/>
      <c r="S32" s="260"/>
      <c r="T32" s="260"/>
      <c r="U32" s="260"/>
      <c r="V32" s="260"/>
      <c r="W32" s="260"/>
      <c r="X32" s="260"/>
      <c r="Y32" s="260"/>
      <c r="Z32" s="260"/>
    </row>
    <row r="33" ht="13.5" customHeight="1">
      <c r="A33" s="260"/>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461"/>
      <c r="C34" s="461"/>
      <c r="D34" s="461"/>
      <c r="E34" s="461"/>
      <c r="F34" s="461"/>
      <c r="G34" s="461"/>
      <c r="H34" s="461"/>
      <c r="I34" s="461"/>
      <c r="J34" s="461"/>
      <c r="K34" s="461"/>
      <c r="L34" s="461"/>
      <c r="M34" s="461"/>
      <c r="N34" s="461"/>
      <c r="O34" s="260"/>
      <c r="P34" s="260"/>
      <c r="Q34" s="260"/>
      <c r="R34" s="260"/>
      <c r="S34" s="260"/>
      <c r="T34" s="260"/>
      <c r="U34" s="260"/>
      <c r="V34" s="260"/>
      <c r="W34" s="260"/>
      <c r="X34" s="260"/>
      <c r="Y34" s="260"/>
      <c r="Z34" s="260"/>
    </row>
    <row r="35" ht="13.5" customHeight="1">
      <c r="A35" s="260"/>
      <c r="B35" s="461"/>
      <c r="C35" s="461"/>
      <c r="D35" s="461"/>
      <c r="E35" s="461"/>
      <c r="F35" s="461"/>
      <c r="G35" s="461"/>
      <c r="H35" s="461"/>
      <c r="I35" s="461"/>
      <c r="J35" s="461"/>
      <c r="K35" s="461"/>
      <c r="L35" s="461"/>
      <c r="M35" s="461"/>
      <c r="N35" s="461"/>
      <c r="O35" s="260"/>
      <c r="P35" s="260"/>
      <c r="Q35" s="260"/>
      <c r="R35" s="260"/>
      <c r="S35" s="260"/>
      <c r="T35" s="260"/>
      <c r="U35" s="260"/>
      <c r="V35" s="260"/>
      <c r="W35" s="260"/>
      <c r="X35" s="260"/>
      <c r="Y35" s="260"/>
      <c r="Z35" s="260"/>
    </row>
    <row r="36" ht="13.5" customHeight="1">
      <c r="A36" s="260"/>
      <c r="B36" s="461"/>
      <c r="C36" s="461"/>
      <c r="D36" s="461"/>
      <c r="E36" s="461"/>
      <c r="F36" s="461"/>
      <c r="G36" s="461"/>
      <c r="H36" s="461"/>
      <c r="I36" s="461"/>
      <c r="J36" s="461"/>
      <c r="K36" s="461"/>
      <c r="L36" s="461"/>
      <c r="M36" s="461"/>
      <c r="N36" s="461"/>
      <c r="O36" s="260"/>
      <c r="P36" s="260"/>
      <c r="Q36" s="260"/>
      <c r="R36" s="260"/>
      <c r="S36" s="260"/>
      <c r="T36" s="260"/>
      <c r="U36" s="260"/>
      <c r="V36" s="260"/>
      <c r="W36" s="260"/>
      <c r="X36" s="260"/>
      <c r="Y36" s="260"/>
      <c r="Z36" s="260"/>
    </row>
    <row r="37" ht="13.5" customHeight="1">
      <c r="A37" s="260"/>
      <c r="B37" s="461" t="s">
        <v>152</v>
      </c>
      <c r="O37" s="260"/>
      <c r="P37" s="260"/>
      <c r="Q37" s="260"/>
      <c r="R37" s="260"/>
      <c r="S37" s="260"/>
      <c r="T37" s="260"/>
      <c r="U37" s="260"/>
      <c r="V37" s="260"/>
      <c r="W37" s="260"/>
      <c r="X37" s="260"/>
      <c r="Y37" s="260"/>
      <c r="Z37" s="260"/>
    </row>
    <row r="38" ht="13.5" customHeight="1">
      <c r="A38" s="260"/>
      <c r="B38" s="462" t="s">
        <v>153</v>
      </c>
      <c r="C38" s="463"/>
      <c r="D38" s="464"/>
      <c r="E38" s="465" t="s">
        <v>154</v>
      </c>
      <c r="F38" s="463"/>
      <c r="G38" s="464"/>
      <c r="H38" s="465" t="s">
        <v>155</v>
      </c>
      <c r="I38" s="463"/>
      <c r="J38" s="464"/>
      <c r="K38" s="465" t="s">
        <v>156</v>
      </c>
      <c r="L38" s="463"/>
      <c r="M38" s="463"/>
      <c r="N38" s="466"/>
      <c r="O38" s="260"/>
      <c r="P38" s="260"/>
      <c r="Q38" s="260"/>
      <c r="R38" s="260"/>
      <c r="S38" s="260"/>
      <c r="T38" s="260"/>
      <c r="U38" s="260"/>
      <c r="V38" s="260"/>
      <c r="W38" s="260"/>
      <c r="X38" s="260"/>
      <c r="Y38" s="260"/>
      <c r="Z38" s="260"/>
    </row>
    <row r="39" ht="13.5" customHeight="1">
      <c r="A39" s="260"/>
      <c r="B39" s="467" t="s">
        <v>266</v>
      </c>
      <c r="C39" s="468"/>
      <c r="D39" s="469"/>
      <c r="E39" s="470" t="s">
        <v>267</v>
      </c>
      <c r="F39" s="468"/>
      <c r="G39" s="469"/>
      <c r="H39" s="471"/>
      <c r="I39" s="468"/>
      <c r="J39" s="469"/>
      <c r="K39" s="472"/>
      <c r="L39" s="468"/>
      <c r="M39" s="468"/>
      <c r="N39" s="473"/>
      <c r="O39" s="260"/>
      <c r="P39" s="260"/>
      <c r="Q39" s="260"/>
      <c r="R39" s="260"/>
      <c r="S39" s="260"/>
      <c r="T39" s="260"/>
      <c r="U39" s="260"/>
      <c r="V39" s="260"/>
      <c r="W39" s="260"/>
      <c r="X39" s="260"/>
      <c r="Y39" s="260"/>
      <c r="Z39" s="260"/>
    </row>
    <row r="40" ht="13.5" customHeight="1">
      <c r="A40" s="260"/>
      <c r="B40" s="474"/>
      <c r="C40" s="475"/>
      <c r="D40" s="476"/>
      <c r="E40" s="477"/>
      <c r="F40" s="475"/>
      <c r="G40" s="476"/>
      <c r="H40" s="477"/>
      <c r="I40" s="475"/>
      <c r="J40" s="476"/>
      <c r="K40" s="477"/>
      <c r="L40" s="475"/>
      <c r="M40" s="475"/>
      <c r="N40" s="478"/>
      <c r="O40" s="260"/>
      <c r="P40" s="260"/>
      <c r="Q40" s="260"/>
      <c r="R40" s="260"/>
      <c r="S40" s="260"/>
      <c r="T40" s="260"/>
      <c r="U40" s="260"/>
      <c r="V40" s="260"/>
      <c r="W40" s="260"/>
      <c r="X40" s="260"/>
      <c r="Y40" s="260"/>
      <c r="Z40" s="260"/>
    </row>
    <row r="41" ht="13.5" customHeight="1">
      <c r="A41" s="260"/>
      <c r="B41" s="479"/>
      <c r="C41" s="479"/>
      <c r="D41" s="479"/>
      <c r="E41" s="479"/>
      <c r="F41" s="479"/>
      <c r="G41" s="479"/>
      <c r="H41" s="479"/>
      <c r="I41" s="479"/>
      <c r="J41" s="479"/>
      <c r="K41" s="480"/>
      <c r="L41" s="480"/>
      <c r="M41" s="480"/>
      <c r="N41" s="480"/>
      <c r="O41" s="260"/>
      <c r="P41" s="260"/>
      <c r="Q41" s="260"/>
      <c r="R41" s="260"/>
      <c r="S41" s="260"/>
      <c r="T41" s="260"/>
      <c r="U41" s="260"/>
      <c r="V41" s="260"/>
      <c r="W41" s="260"/>
      <c r="X41" s="260"/>
      <c r="Y41" s="260"/>
      <c r="Z41" s="260"/>
    </row>
    <row r="42" ht="13.5" customHeight="1">
      <c r="A42" s="260"/>
      <c r="B42" s="481" t="s">
        <v>159</v>
      </c>
      <c r="C42" s="482" t="s">
        <v>160</v>
      </c>
      <c r="D42" s="483" t="s">
        <v>161</v>
      </c>
      <c r="E42" s="463"/>
      <c r="F42" s="463"/>
      <c r="G42" s="463"/>
      <c r="H42" s="463"/>
      <c r="I42" s="463"/>
      <c r="J42" s="463"/>
      <c r="K42" s="463"/>
      <c r="L42" s="463"/>
      <c r="M42" s="464"/>
      <c r="N42" s="484" t="s">
        <v>162</v>
      </c>
      <c r="O42" s="485"/>
      <c r="P42" s="486" t="s">
        <v>163</v>
      </c>
      <c r="Q42" s="487" t="s">
        <v>164</v>
      </c>
      <c r="R42" s="488" t="s">
        <v>165</v>
      </c>
      <c r="S42" s="489" t="s">
        <v>166</v>
      </c>
      <c r="T42" s="490" t="s">
        <v>167</v>
      </c>
      <c r="U42" s="260"/>
      <c r="V42" s="260"/>
      <c r="W42" s="260"/>
      <c r="X42" s="260"/>
      <c r="Y42" s="260"/>
      <c r="Z42" s="260"/>
    </row>
    <row r="43" ht="13.5" customHeight="1">
      <c r="A43" s="260"/>
      <c r="B43" s="491"/>
      <c r="C43" s="117"/>
      <c r="D43" s="492" t="s">
        <v>224</v>
      </c>
      <c r="E43" s="492" t="s">
        <v>225</v>
      </c>
      <c r="F43" s="492" t="s">
        <v>226</v>
      </c>
      <c r="G43" s="492" t="s">
        <v>227</v>
      </c>
      <c r="H43" s="492" t="s">
        <v>228</v>
      </c>
      <c r="I43" s="492" t="s">
        <v>229</v>
      </c>
      <c r="J43" s="492" t="s">
        <v>230</v>
      </c>
      <c r="K43" s="492" t="s">
        <v>231</v>
      </c>
      <c r="L43" s="492" t="s">
        <v>232</v>
      </c>
      <c r="M43" s="492" t="s">
        <v>233</v>
      </c>
      <c r="N43" s="493" t="s">
        <v>234</v>
      </c>
      <c r="O43" s="485"/>
      <c r="P43" s="491"/>
      <c r="Q43" s="117"/>
      <c r="R43" s="494"/>
      <c r="S43" s="495"/>
      <c r="T43" s="496"/>
      <c r="U43" s="260"/>
      <c r="V43" s="260"/>
      <c r="W43" s="260"/>
      <c r="X43" s="260"/>
      <c r="Y43" s="260"/>
      <c r="Z43" s="260"/>
    </row>
    <row r="44" ht="13.5" customHeight="1">
      <c r="A44" s="497"/>
      <c r="B44" s="498">
        <v>1.0</v>
      </c>
      <c r="C44" s="499" t="s">
        <v>268</v>
      </c>
      <c r="D44" s="500">
        <v>69.0</v>
      </c>
      <c r="E44" s="500">
        <v>60.06</v>
      </c>
      <c r="F44" s="500">
        <v>113.09</v>
      </c>
      <c r="G44" s="500">
        <v>54.0</v>
      </c>
      <c r="H44" s="500">
        <v>25.29</v>
      </c>
      <c r="I44" s="500">
        <v>30.44</v>
      </c>
      <c r="J44" s="500">
        <v>78.33</v>
      </c>
      <c r="K44" s="500">
        <v>24.79</v>
      </c>
      <c r="L44" s="500">
        <v>27.0</v>
      </c>
      <c r="M44" s="500">
        <v>45.12</v>
      </c>
      <c r="N44" s="501">
        <f t="shared" ref="N44:N45" si="14">SUM(D44:M44)</f>
        <v>527.12</v>
      </c>
      <c r="O44" s="485"/>
      <c r="P44" s="502">
        <f>AVERAGE(D44:M44)</f>
        <v>52.712</v>
      </c>
      <c r="Q44" s="503">
        <f>MAX(D44:M44)</f>
        <v>113.09</v>
      </c>
      <c r="R44" s="504">
        <f>P44/$P$45</f>
        <v>1</v>
      </c>
      <c r="S44" s="505" t="s">
        <v>269</v>
      </c>
      <c r="T44" s="549" t="s">
        <v>270</v>
      </c>
      <c r="U44" s="260"/>
      <c r="V44" s="260"/>
      <c r="W44" s="260"/>
      <c r="X44" s="260"/>
      <c r="Y44" s="260"/>
      <c r="Z44" s="260"/>
    </row>
    <row r="45" ht="13.5" customHeight="1">
      <c r="A45" s="260"/>
      <c r="B45" s="507"/>
      <c r="C45" s="508" t="s">
        <v>180</v>
      </c>
      <c r="D45" s="509">
        <f t="shared" ref="D45:M45" si="13">SUM(D44)</f>
        <v>69</v>
      </c>
      <c r="E45" s="509">
        <f t="shared" si="13"/>
        <v>60.06</v>
      </c>
      <c r="F45" s="509">
        <f t="shared" si="13"/>
        <v>113.09</v>
      </c>
      <c r="G45" s="509">
        <f t="shared" si="13"/>
        <v>54</v>
      </c>
      <c r="H45" s="509">
        <f t="shared" si="13"/>
        <v>25.29</v>
      </c>
      <c r="I45" s="509">
        <f t="shared" si="13"/>
        <v>30.44</v>
      </c>
      <c r="J45" s="509">
        <f t="shared" si="13"/>
        <v>78.33</v>
      </c>
      <c r="K45" s="509">
        <f t="shared" si="13"/>
        <v>24.79</v>
      </c>
      <c r="L45" s="509">
        <f t="shared" si="13"/>
        <v>27</v>
      </c>
      <c r="M45" s="509">
        <f t="shared" si="13"/>
        <v>45.12</v>
      </c>
      <c r="N45" s="510">
        <f t="shared" si="14"/>
        <v>527.12</v>
      </c>
      <c r="O45" s="479" t="s">
        <v>10</v>
      </c>
      <c r="P45" s="511">
        <f t="shared" ref="P45:R45" si="15">SUM(P44)</f>
        <v>52.712</v>
      </c>
      <c r="Q45" s="512">
        <f t="shared" si="15"/>
        <v>113.09</v>
      </c>
      <c r="R45" s="513">
        <f t="shared" si="15"/>
        <v>1</v>
      </c>
      <c r="S45" s="260"/>
      <c r="T45" s="260"/>
      <c r="U45" s="260"/>
      <c r="V45" s="260"/>
      <c r="W45" s="260"/>
      <c r="X45" s="260"/>
      <c r="Y45" s="260"/>
      <c r="Z45" s="260"/>
    </row>
    <row r="46" ht="13.5" customHeight="1">
      <c r="A46" s="260"/>
      <c r="B46" s="260"/>
      <c r="C46" s="514"/>
      <c r="D46" s="550">
        <f t="shared" ref="D46:G46" si="16">D45/60</f>
        <v>1.15</v>
      </c>
      <c r="E46" s="550">
        <f t="shared" si="16"/>
        <v>1.001</v>
      </c>
      <c r="F46" s="550">
        <f t="shared" si="16"/>
        <v>1.884833333</v>
      </c>
      <c r="G46" s="550">
        <f t="shared" si="16"/>
        <v>0.9</v>
      </c>
      <c r="H46" s="550"/>
      <c r="I46" s="550"/>
      <c r="J46" s="550">
        <f>J45/60</f>
        <v>1.3055</v>
      </c>
      <c r="K46" s="550"/>
      <c r="L46" s="550"/>
      <c r="M46" s="515">
        <f t="shared" ref="M46:N46" si="17">M45/60</f>
        <v>0.752</v>
      </c>
      <c r="N46" s="516">
        <f t="shared" si="17"/>
        <v>8.785333333</v>
      </c>
      <c r="O46" s="479"/>
      <c r="P46" s="515"/>
      <c r="Q46" s="515"/>
      <c r="R46" s="479"/>
      <c r="S46" s="260"/>
      <c r="T46" s="260"/>
      <c r="U46" s="260"/>
      <c r="V46" s="260"/>
      <c r="W46" s="260"/>
      <c r="X46" s="260"/>
      <c r="Y46" s="260"/>
      <c r="Z46" s="260"/>
    </row>
    <row r="47" ht="13.5" customHeight="1">
      <c r="A47" s="260"/>
      <c r="B47" s="260"/>
      <c r="C47" s="514"/>
      <c r="D47" s="515"/>
      <c r="E47" s="515"/>
      <c r="F47" s="515"/>
      <c r="G47" s="515"/>
      <c r="H47" s="515"/>
      <c r="I47" s="515"/>
      <c r="J47" s="515"/>
      <c r="K47" s="515"/>
      <c r="L47" s="515"/>
      <c r="M47" s="515"/>
      <c r="N47" s="517" t="s">
        <v>182</v>
      </c>
      <c r="O47" s="479"/>
      <c r="P47" s="515"/>
      <c r="Q47" s="515"/>
      <c r="R47" s="479"/>
      <c r="S47" s="260"/>
      <c r="T47" s="260"/>
      <c r="U47" s="260"/>
      <c r="V47" s="260"/>
      <c r="W47" s="260"/>
      <c r="X47" s="260"/>
      <c r="Y47" s="260"/>
      <c r="Z47" s="260"/>
    </row>
    <row r="48" ht="13.5" customHeight="1">
      <c r="A48" s="260"/>
      <c r="B48" s="260"/>
      <c r="C48" s="518" t="s">
        <v>238</v>
      </c>
      <c r="D48" s="519">
        <v>6.56070521786384E14</v>
      </c>
      <c r="E48" s="519">
        <v>6.52028279609242E14</v>
      </c>
      <c r="F48" s="519">
        <v>6.51965462951374E14</v>
      </c>
      <c r="G48" s="519">
        <v>6.56120989145987E14</v>
      </c>
      <c r="H48" s="519">
        <v>6.56266105410678E14</v>
      </c>
      <c r="I48" s="519">
        <v>6.56236151993919E15</v>
      </c>
      <c r="J48" s="519">
        <v>6.52173010754653E14</v>
      </c>
      <c r="K48" s="519">
        <v>6.56729378360414E14</v>
      </c>
      <c r="L48" s="519">
        <v>6.52649633251405E14</v>
      </c>
      <c r="M48" s="519">
        <v>6.56569150736047E14</v>
      </c>
      <c r="N48" s="520"/>
      <c r="O48" s="479"/>
      <c r="P48" s="479"/>
      <c r="Q48" s="521"/>
      <c r="R48" s="260"/>
      <c r="S48" s="260"/>
      <c r="T48" s="260"/>
      <c r="U48" s="260"/>
      <c r="V48" s="260"/>
      <c r="W48" s="260"/>
      <c r="X48" s="260"/>
      <c r="Y48" s="260"/>
      <c r="Z48" s="260"/>
    </row>
    <row r="49" ht="13.5" customHeight="1">
      <c r="A49" s="260"/>
      <c r="B49" s="260"/>
      <c r="C49" s="524" t="s">
        <v>271</v>
      </c>
      <c r="D49" s="522">
        <v>11.0</v>
      </c>
      <c r="E49" s="522">
        <v>8.0</v>
      </c>
      <c r="F49" s="522">
        <v>28.0</v>
      </c>
      <c r="G49" s="522">
        <v>11.0</v>
      </c>
      <c r="H49" s="522">
        <v>5.0</v>
      </c>
      <c r="I49" s="523">
        <v>6.0</v>
      </c>
      <c r="J49" s="523">
        <v>13.0</v>
      </c>
      <c r="K49" s="523">
        <v>7.0</v>
      </c>
      <c r="L49" s="523">
        <v>10.0</v>
      </c>
      <c r="M49" s="523">
        <v>9.0</v>
      </c>
      <c r="N49" s="520"/>
      <c r="O49" s="479"/>
      <c r="P49" s="479"/>
      <c r="Q49" s="521"/>
      <c r="R49" s="260"/>
      <c r="S49" s="260"/>
      <c r="T49" s="260"/>
      <c r="U49" s="260"/>
      <c r="V49" s="260"/>
      <c r="W49" s="260"/>
      <c r="X49" s="260"/>
      <c r="Y49" s="260"/>
      <c r="Z49" s="260"/>
    </row>
    <row r="50" ht="13.5" customHeight="1">
      <c r="A50" s="260"/>
      <c r="B50" s="260"/>
      <c r="C50" s="518" t="s">
        <v>272</v>
      </c>
      <c r="D50" s="522" t="s">
        <v>273</v>
      </c>
      <c r="E50" s="522" t="s">
        <v>274</v>
      </c>
      <c r="F50" s="522" t="s">
        <v>274</v>
      </c>
      <c r="G50" s="522" t="s">
        <v>274</v>
      </c>
      <c r="H50" s="522" t="s">
        <v>274</v>
      </c>
      <c r="I50" s="523" t="s">
        <v>274</v>
      </c>
      <c r="J50" s="523"/>
      <c r="K50" s="523" t="s">
        <v>274</v>
      </c>
      <c r="L50" s="523" t="s">
        <v>274</v>
      </c>
      <c r="M50" s="523" t="s">
        <v>274</v>
      </c>
      <c r="N50" s="520"/>
      <c r="O50" s="479"/>
      <c r="P50" s="479"/>
      <c r="Q50" s="521"/>
      <c r="R50" s="260"/>
      <c r="S50" s="260"/>
      <c r="T50" s="260"/>
      <c r="U50" s="260"/>
      <c r="V50" s="260"/>
      <c r="W50" s="260"/>
      <c r="X50" s="260"/>
      <c r="Y50" s="260"/>
      <c r="Z50" s="260"/>
    </row>
    <row r="51" ht="13.5" customHeight="1">
      <c r="A51" s="260"/>
      <c r="B51" s="260"/>
      <c r="C51" s="518" t="s">
        <v>187</v>
      </c>
      <c r="D51" s="522" t="s">
        <v>242</v>
      </c>
      <c r="E51" s="522" t="s">
        <v>242</v>
      </c>
      <c r="F51" s="522" t="s">
        <v>242</v>
      </c>
      <c r="G51" s="522" t="s">
        <v>242</v>
      </c>
      <c r="H51" s="522" t="s">
        <v>242</v>
      </c>
      <c r="I51" s="522" t="s">
        <v>242</v>
      </c>
      <c r="J51" s="522" t="s">
        <v>242</v>
      </c>
      <c r="K51" s="522" t="s">
        <v>242</v>
      </c>
      <c r="L51" s="522" t="s">
        <v>242</v>
      </c>
      <c r="M51" s="522" t="s">
        <v>242</v>
      </c>
      <c r="N51" s="520"/>
      <c r="O51" s="479"/>
      <c r="P51" s="479"/>
      <c r="Q51" s="521"/>
      <c r="R51" s="260"/>
      <c r="S51" s="260"/>
      <c r="T51" s="260"/>
      <c r="U51" s="260"/>
      <c r="V51" s="260"/>
      <c r="W51" s="260"/>
      <c r="X51" s="260"/>
      <c r="Y51" s="260"/>
      <c r="Z51" s="260"/>
    </row>
    <row r="52" ht="13.5" customHeight="1">
      <c r="A52" s="260"/>
      <c r="B52" s="260"/>
      <c r="C52" s="518" t="s">
        <v>243</v>
      </c>
      <c r="D52" s="522" t="s">
        <v>246</v>
      </c>
      <c r="E52" s="522" t="s">
        <v>246</v>
      </c>
      <c r="F52" s="522" t="s">
        <v>246</v>
      </c>
      <c r="G52" s="522" t="s">
        <v>246</v>
      </c>
      <c r="H52" s="522" t="s">
        <v>246</v>
      </c>
      <c r="I52" s="522" t="s">
        <v>246</v>
      </c>
      <c r="J52" s="522" t="s">
        <v>246</v>
      </c>
      <c r="K52" s="522" t="s">
        <v>246</v>
      </c>
      <c r="L52" s="522" t="s">
        <v>246</v>
      </c>
      <c r="M52" s="522" t="s">
        <v>246</v>
      </c>
      <c r="N52" s="520"/>
      <c r="O52" s="479"/>
      <c r="P52" s="479"/>
      <c r="Q52" s="521"/>
      <c r="R52" s="260"/>
      <c r="S52" s="260"/>
      <c r="T52" s="260"/>
      <c r="U52" s="260"/>
      <c r="V52" s="260"/>
      <c r="W52" s="260"/>
      <c r="X52" s="260"/>
      <c r="Y52" s="260"/>
      <c r="Z52" s="260"/>
    </row>
    <row r="53" ht="13.5" customHeight="1">
      <c r="A53" s="260"/>
      <c r="B53" s="260"/>
      <c r="C53" s="518" t="s">
        <v>249</v>
      </c>
      <c r="D53" s="527"/>
      <c r="E53" s="528" t="s">
        <v>275</v>
      </c>
      <c r="F53" s="528"/>
      <c r="G53" s="528"/>
      <c r="H53" s="528"/>
      <c r="I53" s="527"/>
      <c r="J53" s="529"/>
      <c r="K53" s="527"/>
      <c r="L53" s="529"/>
      <c r="M53" s="528" t="s">
        <v>276</v>
      </c>
      <c r="N53" s="520"/>
      <c r="O53" s="479"/>
      <c r="P53" s="479"/>
      <c r="Q53" s="521"/>
      <c r="R53" s="260"/>
      <c r="S53" s="260"/>
      <c r="T53" s="260"/>
      <c r="U53" s="260"/>
      <c r="V53" s="260"/>
      <c r="W53" s="260"/>
      <c r="X53" s="260"/>
      <c r="Y53" s="260"/>
      <c r="Z53" s="260"/>
    </row>
    <row r="54" ht="13.5" customHeight="1">
      <c r="A54" s="260"/>
      <c r="B54" s="260"/>
      <c r="C54" s="518" t="s">
        <v>190</v>
      </c>
      <c r="D54" s="526"/>
      <c r="E54" s="525" t="s">
        <v>277</v>
      </c>
      <c r="F54" s="522" t="s">
        <v>278</v>
      </c>
      <c r="G54" s="522" t="s">
        <v>279</v>
      </c>
      <c r="H54" s="522" t="s">
        <v>280</v>
      </c>
      <c r="I54" s="526" t="s">
        <v>281</v>
      </c>
      <c r="J54" s="531" t="s">
        <v>282</v>
      </c>
      <c r="K54" s="526" t="s">
        <v>283</v>
      </c>
      <c r="L54" s="531" t="s">
        <v>284</v>
      </c>
      <c r="M54" s="525" t="s">
        <v>285</v>
      </c>
      <c r="N54" s="520"/>
      <c r="O54" s="479"/>
      <c r="P54" s="479"/>
      <c r="Q54" s="521"/>
      <c r="R54" s="260"/>
      <c r="S54" s="260"/>
      <c r="T54" s="260"/>
      <c r="U54" s="260"/>
      <c r="V54" s="260"/>
      <c r="W54" s="260"/>
      <c r="X54" s="260"/>
      <c r="Y54" s="260"/>
      <c r="Z54" s="260"/>
    </row>
    <row r="55" ht="13.5" customHeight="1">
      <c r="A55" s="260"/>
      <c r="B55" s="260"/>
      <c r="C55" s="551"/>
      <c r="D55" s="552"/>
      <c r="E55" s="553"/>
      <c r="F55" s="479"/>
      <c r="G55" s="479"/>
      <c r="H55" s="479"/>
      <c r="I55" s="552"/>
      <c r="J55" s="554"/>
      <c r="K55" s="552"/>
      <c r="L55" s="554"/>
      <c r="M55" s="553"/>
      <c r="N55" s="520"/>
      <c r="O55" s="479"/>
      <c r="P55" s="479"/>
      <c r="Q55" s="521"/>
      <c r="R55" s="260"/>
      <c r="S55" s="260"/>
      <c r="T55" s="260"/>
      <c r="U55" s="260"/>
      <c r="V55" s="260"/>
      <c r="W55" s="260"/>
      <c r="X55" s="260"/>
      <c r="Y55" s="260"/>
      <c r="Z55" s="260"/>
    </row>
    <row r="56" ht="13.5" customHeight="1">
      <c r="A56" s="532"/>
      <c r="B56" s="532"/>
      <c r="C56" s="533" t="s">
        <v>286</v>
      </c>
      <c r="D56" s="532"/>
      <c r="E56" s="532"/>
      <c r="F56" s="532"/>
      <c r="G56" s="532"/>
      <c r="H56" s="532"/>
      <c r="I56" s="532"/>
      <c r="J56" s="532"/>
      <c r="K56" s="532"/>
      <c r="L56" s="532"/>
      <c r="M56" s="532"/>
      <c r="N56" s="534" t="s">
        <v>163</v>
      </c>
      <c r="O56" s="535"/>
      <c r="P56" s="535"/>
      <c r="Q56" s="535"/>
      <c r="R56" s="536"/>
      <c r="S56" s="536"/>
      <c r="T56" s="532"/>
      <c r="U56" s="260"/>
      <c r="V56" s="260"/>
      <c r="W56" s="260"/>
      <c r="X56" s="260"/>
      <c r="Y56" s="260"/>
      <c r="Z56" s="260"/>
    </row>
    <row r="57" ht="13.5" customHeight="1">
      <c r="A57" s="260"/>
      <c r="B57" s="260"/>
      <c r="C57" s="537" t="s">
        <v>192</v>
      </c>
      <c r="D57" s="538">
        <v>1.0</v>
      </c>
      <c r="E57" s="538">
        <v>0.8</v>
      </c>
      <c r="F57" s="538">
        <v>1.4</v>
      </c>
      <c r="G57" s="538">
        <v>1.0</v>
      </c>
      <c r="H57" s="538">
        <v>1.0</v>
      </c>
      <c r="I57" s="538">
        <v>1.0</v>
      </c>
      <c r="J57" s="538">
        <v>1.0</v>
      </c>
      <c r="K57" s="538">
        <v>1.5</v>
      </c>
      <c r="L57" s="538">
        <v>2.0</v>
      </c>
      <c r="M57" s="538">
        <v>1.0</v>
      </c>
      <c r="N57" s="538">
        <f t="shared" ref="N57:N60" si="19">AVERAGE(D57:M57)</f>
        <v>1.17</v>
      </c>
      <c r="O57" s="539"/>
      <c r="P57" s="540"/>
      <c r="T57" s="260"/>
      <c r="U57" s="260"/>
      <c r="V57" s="260"/>
      <c r="W57" s="260"/>
      <c r="X57" s="260"/>
      <c r="Y57" s="260"/>
      <c r="Z57" s="260"/>
    </row>
    <row r="58" ht="13.5" customHeight="1">
      <c r="A58" s="260"/>
      <c r="B58" s="260"/>
      <c r="C58" s="537" t="s">
        <v>193</v>
      </c>
      <c r="D58" s="541">
        <f t="shared" ref="D58:M58" si="18">D$45/D49</f>
        <v>6.272727273</v>
      </c>
      <c r="E58" s="541">
        <f t="shared" si="18"/>
        <v>7.5075</v>
      </c>
      <c r="F58" s="541">
        <f t="shared" si="18"/>
        <v>4.038928571</v>
      </c>
      <c r="G58" s="541">
        <f t="shared" si="18"/>
        <v>4.909090909</v>
      </c>
      <c r="H58" s="541">
        <f t="shared" si="18"/>
        <v>5.058</v>
      </c>
      <c r="I58" s="541">
        <f t="shared" si="18"/>
        <v>5.073333333</v>
      </c>
      <c r="J58" s="541">
        <f t="shared" si="18"/>
        <v>6.025384615</v>
      </c>
      <c r="K58" s="541">
        <f t="shared" si="18"/>
        <v>3.541428571</v>
      </c>
      <c r="L58" s="541">
        <f t="shared" si="18"/>
        <v>2.7</v>
      </c>
      <c r="M58" s="541">
        <f t="shared" si="18"/>
        <v>5.013333333</v>
      </c>
      <c r="N58" s="500">
        <f t="shared" si="19"/>
        <v>5.013972661</v>
      </c>
      <c r="O58" s="539"/>
      <c r="P58" s="542"/>
      <c r="Q58" s="540"/>
      <c r="R58" s="540"/>
      <c r="S58" s="540"/>
      <c r="T58" s="260"/>
      <c r="U58" s="260"/>
      <c r="V58" s="260"/>
      <c r="W58" s="260"/>
      <c r="X58" s="260"/>
      <c r="Y58" s="260"/>
      <c r="Z58" s="260"/>
    </row>
    <row r="59" ht="13.5" customHeight="1">
      <c r="A59" s="260"/>
      <c r="B59" s="260"/>
      <c r="C59" s="537" t="s">
        <v>194</v>
      </c>
      <c r="D59" s="500">
        <f t="shared" ref="D59:M59" si="20">D58*D$57</f>
        <v>6.272727273</v>
      </c>
      <c r="E59" s="500">
        <f t="shared" si="20"/>
        <v>6.006</v>
      </c>
      <c r="F59" s="500">
        <f t="shared" si="20"/>
        <v>5.6545</v>
      </c>
      <c r="G59" s="500">
        <f t="shared" si="20"/>
        <v>4.909090909</v>
      </c>
      <c r="H59" s="500">
        <f t="shared" si="20"/>
        <v>5.058</v>
      </c>
      <c r="I59" s="500">
        <f t="shared" si="20"/>
        <v>5.073333333</v>
      </c>
      <c r="J59" s="500">
        <f t="shared" si="20"/>
        <v>6.025384615</v>
      </c>
      <c r="K59" s="500">
        <f t="shared" si="20"/>
        <v>5.312142857</v>
      </c>
      <c r="L59" s="500">
        <f t="shared" si="20"/>
        <v>5.4</v>
      </c>
      <c r="M59" s="500">
        <f t="shared" si="20"/>
        <v>5.013333333</v>
      </c>
      <c r="N59" s="500">
        <f t="shared" si="19"/>
        <v>5.472451232</v>
      </c>
      <c r="O59" s="539"/>
      <c r="P59" s="542"/>
      <c r="Q59" s="540"/>
      <c r="R59" s="540"/>
      <c r="S59" s="540"/>
      <c r="T59" s="260"/>
      <c r="U59" s="260"/>
      <c r="V59" s="260"/>
      <c r="W59" s="260"/>
      <c r="X59" s="260"/>
      <c r="Y59" s="260"/>
      <c r="Z59" s="260"/>
    </row>
    <row r="60" ht="13.5" customHeight="1">
      <c r="A60" s="260"/>
      <c r="B60" s="260"/>
      <c r="C60" s="537" t="s">
        <v>195</v>
      </c>
      <c r="D60" s="500">
        <f t="shared" ref="D60:M60" si="21">D59*(1+0.05)</f>
        <v>6.586363636</v>
      </c>
      <c r="E60" s="500">
        <f t="shared" si="21"/>
        <v>6.3063</v>
      </c>
      <c r="F60" s="500">
        <f t="shared" si="21"/>
        <v>5.937225</v>
      </c>
      <c r="G60" s="500">
        <f t="shared" si="21"/>
        <v>5.154545455</v>
      </c>
      <c r="H60" s="500">
        <f t="shared" si="21"/>
        <v>5.3109</v>
      </c>
      <c r="I60" s="500">
        <f t="shared" si="21"/>
        <v>5.327</v>
      </c>
      <c r="J60" s="500">
        <f t="shared" si="21"/>
        <v>6.326653846</v>
      </c>
      <c r="K60" s="500">
        <f t="shared" si="21"/>
        <v>5.57775</v>
      </c>
      <c r="L60" s="500">
        <f t="shared" si="21"/>
        <v>5.67</v>
      </c>
      <c r="M60" s="500">
        <f t="shared" si="21"/>
        <v>5.264</v>
      </c>
      <c r="N60" s="500">
        <f t="shared" si="19"/>
        <v>5.746073794</v>
      </c>
      <c r="O60" s="543"/>
      <c r="P60" s="543"/>
      <c r="Q60" s="543"/>
      <c r="R60" s="543"/>
      <c r="S60" s="539"/>
      <c r="T60" s="260"/>
      <c r="U60" s="260"/>
      <c r="V60" s="260"/>
      <c r="W60" s="260"/>
      <c r="X60" s="260"/>
      <c r="Y60" s="260"/>
      <c r="Z60" s="260"/>
    </row>
    <row r="61" ht="13.5" customHeight="1">
      <c r="A61" s="260"/>
      <c r="B61" s="260"/>
      <c r="C61" s="544" t="s">
        <v>196</v>
      </c>
      <c r="D61" s="545">
        <f t="shared" ref="D61:N61" si="22">3600/D60</f>
        <v>546.5838509</v>
      </c>
      <c r="E61" s="545">
        <f t="shared" si="22"/>
        <v>570.8577137</v>
      </c>
      <c r="F61" s="545">
        <f t="shared" si="22"/>
        <v>606.3438728</v>
      </c>
      <c r="G61" s="545">
        <f t="shared" si="22"/>
        <v>698.4126984</v>
      </c>
      <c r="H61" s="545">
        <f t="shared" si="22"/>
        <v>677.8512117</v>
      </c>
      <c r="I61" s="545">
        <f t="shared" si="22"/>
        <v>675.8025155</v>
      </c>
      <c r="J61" s="545">
        <f t="shared" si="22"/>
        <v>569.0211742</v>
      </c>
      <c r="K61" s="545">
        <f t="shared" si="22"/>
        <v>645.4215409</v>
      </c>
      <c r="L61" s="545">
        <f t="shared" si="22"/>
        <v>634.9206349</v>
      </c>
      <c r="M61" s="545">
        <f t="shared" si="22"/>
        <v>683.8905775</v>
      </c>
      <c r="N61" s="546">
        <f t="shared" si="22"/>
        <v>626.5147524</v>
      </c>
      <c r="O61" s="547"/>
      <c r="Q61" s="547"/>
      <c r="R61" s="547"/>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547"/>
      <c r="Q62" s="547"/>
      <c r="R62" s="547"/>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461" t="s">
        <v>152</v>
      </c>
      <c r="O66" s="260"/>
      <c r="P66" s="260"/>
      <c r="Q66" s="260"/>
      <c r="R66" s="260"/>
      <c r="S66" s="260"/>
      <c r="T66" s="260"/>
      <c r="U66" s="260"/>
      <c r="V66" s="260"/>
      <c r="W66" s="260"/>
      <c r="X66" s="260"/>
      <c r="Y66" s="260"/>
      <c r="Z66" s="260"/>
    </row>
    <row r="67" ht="13.5" customHeight="1">
      <c r="A67" s="260"/>
      <c r="B67" s="462" t="s">
        <v>153</v>
      </c>
      <c r="C67" s="463"/>
      <c r="D67" s="464"/>
      <c r="E67" s="465" t="s">
        <v>154</v>
      </c>
      <c r="F67" s="463"/>
      <c r="G67" s="464"/>
      <c r="H67" s="465" t="s">
        <v>155</v>
      </c>
      <c r="I67" s="463"/>
      <c r="J67" s="464"/>
      <c r="K67" s="465" t="s">
        <v>287</v>
      </c>
      <c r="L67" s="463"/>
      <c r="M67" s="463"/>
      <c r="N67" s="466"/>
      <c r="O67" s="260"/>
      <c r="P67" s="260"/>
      <c r="Q67" s="260"/>
      <c r="R67" s="260"/>
      <c r="S67" s="260"/>
      <c r="T67" s="260"/>
      <c r="U67" s="260"/>
      <c r="V67" s="260"/>
      <c r="W67" s="260"/>
      <c r="X67" s="260"/>
      <c r="Y67" s="260"/>
      <c r="Z67" s="260"/>
    </row>
    <row r="68" ht="13.5" customHeight="1">
      <c r="A68" s="260"/>
      <c r="B68" s="467" t="s">
        <v>288</v>
      </c>
      <c r="C68" s="468"/>
      <c r="D68" s="469"/>
      <c r="E68" s="470" t="s">
        <v>158</v>
      </c>
      <c r="F68" s="468"/>
      <c r="G68" s="469"/>
      <c r="H68" s="555"/>
      <c r="I68" s="468"/>
      <c r="J68" s="469"/>
      <c r="K68" s="472"/>
      <c r="L68" s="468"/>
      <c r="M68" s="468"/>
      <c r="N68" s="473"/>
      <c r="O68" s="260"/>
      <c r="P68" s="260"/>
      <c r="Q68" s="260"/>
      <c r="R68" s="260"/>
      <c r="S68" s="260"/>
      <c r="T68" s="260"/>
      <c r="U68" s="260"/>
      <c r="V68" s="260"/>
      <c r="W68" s="260"/>
      <c r="X68" s="260"/>
      <c r="Y68" s="260"/>
      <c r="Z68" s="260"/>
    </row>
    <row r="69" ht="13.5" customHeight="1">
      <c r="A69" s="260"/>
      <c r="B69" s="474"/>
      <c r="C69" s="475"/>
      <c r="D69" s="476"/>
      <c r="E69" s="477"/>
      <c r="F69" s="475"/>
      <c r="G69" s="476"/>
      <c r="H69" s="477"/>
      <c r="I69" s="475"/>
      <c r="J69" s="476"/>
      <c r="K69" s="477"/>
      <c r="L69" s="475"/>
      <c r="M69" s="475"/>
      <c r="N69" s="478"/>
      <c r="O69" s="260"/>
      <c r="P69" s="260"/>
      <c r="Q69" s="260"/>
      <c r="R69" s="260"/>
      <c r="S69" s="260"/>
      <c r="T69" s="260"/>
      <c r="U69" s="260"/>
      <c r="V69" s="260"/>
      <c r="W69" s="260"/>
      <c r="X69" s="260"/>
      <c r="Y69" s="260"/>
      <c r="Z69" s="260"/>
    </row>
    <row r="70" ht="13.5" customHeight="1">
      <c r="A70" s="260"/>
      <c r="B70" s="479"/>
      <c r="C70" s="479"/>
      <c r="D70" s="479"/>
      <c r="E70" s="479"/>
      <c r="F70" s="479"/>
      <c r="G70" s="479"/>
      <c r="H70" s="479"/>
      <c r="I70" s="479"/>
      <c r="J70" s="479"/>
      <c r="K70" s="480"/>
      <c r="L70" s="480"/>
      <c r="M70" s="480"/>
      <c r="N70" s="480"/>
      <c r="O70" s="260"/>
      <c r="P70" s="260"/>
      <c r="Q70" s="260"/>
      <c r="R70" s="260"/>
      <c r="S70" s="260"/>
      <c r="T70" s="260"/>
      <c r="U70" s="260"/>
      <c r="V70" s="260"/>
      <c r="W70" s="260"/>
      <c r="X70" s="260"/>
      <c r="Y70" s="260"/>
      <c r="Z70" s="260"/>
    </row>
    <row r="71" ht="13.5" customHeight="1">
      <c r="A71" s="260"/>
      <c r="B71" s="481" t="s">
        <v>159</v>
      </c>
      <c r="C71" s="482" t="s">
        <v>160</v>
      </c>
      <c r="D71" s="483" t="s">
        <v>161</v>
      </c>
      <c r="E71" s="463"/>
      <c r="F71" s="463"/>
      <c r="G71" s="463"/>
      <c r="H71" s="463"/>
      <c r="I71" s="463"/>
      <c r="J71" s="463"/>
      <c r="K71" s="463"/>
      <c r="L71" s="463"/>
      <c r="M71" s="464"/>
      <c r="N71" s="484" t="s">
        <v>162</v>
      </c>
      <c r="O71" s="485"/>
      <c r="P71" s="486" t="s">
        <v>163</v>
      </c>
      <c r="Q71" s="487" t="s">
        <v>164</v>
      </c>
      <c r="R71" s="556" t="s">
        <v>289</v>
      </c>
      <c r="S71" s="489" t="s">
        <v>166</v>
      </c>
      <c r="T71" s="490" t="s">
        <v>167</v>
      </c>
      <c r="U71" s="260"/>
      <c r="V71" s="260"/>
      <c r="W71" s="260"/>
      <c r="X71" s="260"/>
      <c r="Y71" s="260"/>
      <c r="Z71" s="260"/>
    </row>
    <row r="72" ht="13.5" customHeight="1">
      <c r="A72" s="260"/>
      <c r="B72" s="491"/>
      <c r="C72" s="117"/>
      <c r="D72" s="492" t="s">
        <v>224</v>
      </c>
      <c r="E72" s="492" t="s">
        <v>225</v>
      </c>
      <c r="F72" s="492" t="s">
        <v>226</v>
      </c>
      <c r="G72" s="492" t="s">
        <v>227</v>
      </c>
      <c r="H72" s="492" t="s">
        <v>228</v>
      </c>
      <c r="I72" s="492" t="s">
        <v>229</v>
      </c>
      <c r="J72" s="492" t="s">
        <v>230</v>
      </c>
      <c r="K72" s="492" t="s">
        <v>231</v>
      </c>
      <c r="L72" s="492" t="s">
        <v>232</v>
      </c>
      <c r="M72" s="492" t="s">
        <v>233</v>
      </c>
      <c r="N72" s="493" t="s">
        <v>234</v>
      </c>
      <c r="O72" s="485"/>
      <c r="P72" s="491"/>
      <c r="Q72" s="117"/>
      <c r="R72" s="557"/>
      <c r="S72" s="495"/>
      <c r="T72" s="496"/>
      <c r="U72" s="260"/>
      <c r="V72" s="260"/>
      <c r="W72" s="260"/>
      <c r="X72" s="260"/>
      <c r="Y72" s="260"/>
      <c r="Z72" s="260"/>
    </row>
    <row r="73" ht="13.5" customHeight="1">
      <c r="A73" s="497"/>
      <c r="B73" s="498">
        <v>1.0</v>
      </c>
      <c r="C73" s="499" t="s">
        <v>290</v>
      </c>
      <c r="D73" s="500">
        <v>146.4</v>
      </c>
      <c r="E73" s="500">
        <v>28.41</v>
      </c>
      <c r="F73" s="500">
        <v>30.63</v>
      </c>
      <c r="G73" s="500">
        <v>25.22</v>
      </c>
      <c r="H73" s="500">
        <v>62.55</v>
      </c>
      <c r="I73" s="500">
        <v>17.11</v>
      </c>
      <c r="J73" s="500">
        <v>31.23</v>
      </c>
      <c r="K73" s="500">
        <v>76.21</v>
      </c>
      <c r="L73" s="500">
        <v>21.18</v>
      </c>
      <c r="M73" s="500">
        <v>9.64</v>
      </c>
      <c r="N73" s="501">
        <f t="shared" ref="N73:N75" si="23">SUM(D73:M73)</f>
        <v>448.58</v>
      </c>
      <c r="O73" s="485"/>
      <c r="P73" s="558">
        <f t="shared" ref="P73:P74" si="24">AVERAGE(D73:H73)</f>
        <v>58.642</v>
      </c>
      <c r="Q73" s="559">
        <f t="shared" ref="Q73:Q74" si="25">MAX(D73:H73)</f>
        <v>146.4</v>
      </c>
      <c r="R73" s="560">
        <f t="shared" ref="R73:R74" si="26">P73/$P$75</f>
        <v>0.7463662976</v>
      </c>
      <c r="S73" s="561" t="s">
        <v>291</v>
      </c>
      <c r="T73" s="562" t="s">
        <v>292</v>
      </c>
      <c r="U73" s="260"/>
      <c r="V73" s="260"/>
      <c r="W73" s="260"/>
      <c r="X73" s="260"/>
      <c r="Y73" s="260"/>
      <c r="Z73" s="260"/>
    </row>
    <row r="74" ht="13.5" customHeight="1">
      <c r="A74" s="485"/>
      <c r="B74" s="498">
        <v>2.0</v>
      </c>
      <c r="C74" s="563" t="s">
        <v>293</v>
      </c>
      <c r="D74" s="500">
        <v>21.18</v>
      </c>
      <c r="E74" s="500">
        <v>23.05</v>
      </c>
      <c r="F74" s="500">
        <v>7.56</v>
      </c>
      <c r="G74" s="500">
        <v>17.11</v>
      </c>
      <c r="H74" s="500">
        <v>30.74</v>
      </c>
      <c r="I74" s="500">
        <v>20.12</v>
      </c>
      <c r="J74" s="500">
        <v>18.98</v>
      </c>
      <c r="K74" s="500">
        <v>23.23</v>
      </c>
      <c r="L74" s="500">
        <v>15.48</v>
      </c>
      <c r="M74" s="500">
        <v>14.15</v>
      </c>
      <c r="N74" s="501">
        <f t="shared" si="23"/>
        <v>191.6</v>
      </c>
      <c r="O74" s="485"/>
      <c r="P74" s="564">
        <f t="shared" si="24"/>
        <v>19.928</v>
      </c>
      <c r="Q74" s="565">
        <f t="shared" si="25"/>
        <v>30.74</v>
      </c>
      <c r="R74" s="566">
        <f t="shared" si="26"/>
        <v>0.2536337024</v>
      </c>
      <c r="S74" s="567"/>
      <c r="T74" s="568"/>
      <c r="U74" s="260"/>
      <c r="V74" s="260"/>
      <c r="W74" s="260"/>
      <c r="X74" s="260"/>
      <c r="Y74" s="260"/>
      <c r="Z74" s="260"/>
    </row>
    <row r="75" ht="13.5" customHeight="1">
      <c r="A75" s="485"/>
      <c r="B75" s="507"/>
      <c r="C75" s="508" t="s">
        <v>180</v>
      </c>
      <c r="D75" s="509">
        <f t="shared" ref="D75:M75" si="27">SUM(D73:D74)</f>
        <v>167.58</v>
      </c>
      <c r="E75" s="509">
        <f t="shared" si="27"/>
        <v>51.46</v>
      </c>
      <c r="F75" s="509">
        <f t="shared" si="27"/>
        <v>38.19</v>
      </c>
      <c r="G75" s="509">
        <f t="shared" si="27"/>
        <v>42.33</v>
      </c>
      <c r="H75" s="509">
        <f t="shared" si="27"/>
        <v>93.29</v>
      </c>
      <c r="I75" s="509">
        <f t="shared" si="27"/>
        <v>37.23</v>
      </c>
      <c r="J75" s="509">
        <f t="shared" si="27"/>
        <v>50.21</v>
      </c>
      <c r="K75" s="509">
        <f t="shared" si="27"/>
        <v>99.44</v>
      </c>
      <c r="L75" s="509">
        <f t="shared" si="27"/>
        <v>36.66</v>
      </c>
      <c r="M75" s="509">
        <f t="shared" si="27"/>
        <v>23.79</v>
      </c>
      <c r="N75" s="510">
        <f t="shared" si="23"/>
        <v>640.18</v>
      </c>
      <c r="O75" s="479" t="s">
        <v>10</v>
      </c>
      <c r="P75" s="511">
        <f t="shared" ref="P75:R75" si="28">SUM(P73:P74)</f>
        <v>78.57</v>
      </c>
      <c r="Q75" s="512">
        <f t="shared" si="28"/>
        <v>177.14</v>
      </c>
      <c r="R75" s="513">
        <f t="shared" si="28"/>
        <v>1</v>
      </c>
      <c r="S75" s="485"/>
      <c r="T75" s="260"/>
      <c r="U75" s="260"/>
      <c r="V75" s="260"/>
      <c r="W75" s="260"/>
      <c r="X75" s="260"/>
      <c r="Y75" s="260"/>
      <c r="Z75" s="260"/>
    </row>
    <row r="76" ht="13.5" customHeight="1">
      <c r="A76" s="260"/>
      <c r="B76" s="260"/>
      <c r="C76" s="514"/>
      <c r="D76" s="550">
        <f>D75/60</f>
        <v>2.793</v>
      </c>
      <c r="E76" s="550"/>
      <c r="F76" s="550"/>
      <c r="G76" s="550"/>
      <c r="H76" s="550">
        <f>H75/60</f>
        <v>1.554833333</v>
      </c>
      <c r="I76" s="550"/>
      <c r="J76" s="550"/>
      <c r="K76" s="550">
        <f>K75/60</f>
        <v>1.657333333</v>
      </c>
      <c r="L76" s="550"/>
      <c r="M76" s="550"/>
      <c r="N76" s="516">
        <f>N75/60</f>
        <v>10.66966667</v>
      </c>
      <c r="O76" s="260"/>
      <c r="P76" s="260"/>
      <c r="Q76" s="260"/>
      <c r="R76" s="260"/>
      <c r="S76" s="260"/>
      <c r="T76" s="260"/>
      <c r="U76" s="260"/>
      <c r="V76" s="260"/>
      <c r="W76" s="260"/>
      <c r="X76" s="260"/>
      <c r="Y76" s="260"/>
      <c r="Z76" s="260"/>
    </row>
    <row r="77" ht="13.5" customHeight="1">
      <c r="A77" s="260"/>
      <c r="B77" s="260"/>
      <c r="C77" s="514"/>
      <c r="D77" s="515"/>
      <c r="E77" s="515"/>
      <c r="F77" s="515"/>
      <c r="G77" s="515"/>
      <c r="H77" s="515"/>
      <c r="I77" s="515"/>
      <c r="J77" s="515"/>
      <c r="K77" s="515"/>
      <c r="L77" s="515"/>
      <c r="M77" s="515"/>
      <c r="N77" s="517" t="s">
        <v>182</v>
      </c>
      <c r="O77" s="479"/>
      <c r="P77" s="515"/>
      <c r="Q77" s="515"/>
      <c r="R77" s="479"/>
      <c r="S77" s="260"/>
      <c r="T77" s="260"/>
      <c r="U77" s="260"/>
      <c r="V77" s="260"/>
      <c r="W77" s="260"/>
      <c r="X77" s="260"/>
      <c r="Y77" s="260"/>
      <c r="Z77" s="260"/>
    </row>
    <row r="78" ht="13.5" customHeight="1">
      <c r="A78" s="260"/>
      <c r="B78" s="260"/>
      <c r="C78" s="518" t="s">
        <v>185</v>
      </c>
      <c r="D78" s="522">
        <v>45.0</v>
      </c>
      <c r="E78" s="522">
        <v>7.0</v>
      </c>
      <c r="F78" s="522">
        <v>1.0</v>
      </c>
      <c r="G78" s="522">
        <v>3.0</v>
      </c>
      <c r="H78" s="522">
        <v>14.0</v>
      </c>
      <c r="I78" s="522">
        <v>1.0</v>
      </c>
      <c r="J78" s="522">
        <v>2.0</v>
      </c>
      <c r="K78" s="522">
        <v>2.0</v>
      </c>
      <c r="L78" s="522">
        <v>3.0</v>
      </c>
      <c r="M78" s="522">
        <v>1.0</v>
      </c>
      <c r="N78" s="520"/>
      <c r="O78" s="479"/>
      <c r="P78" s="479"/>
      <c r="Q78" s="521"/>
      <c r="R78" s="260"/>
      <c r="S78" s="260"/>
      <c r="T78" s="260"/>
      <c r="U78" s="260"/>
      <c r="V78" s="260"/>
      <c r="W78" s="260"/>
      <c r="X78" s="260"/>
      <c r="Y78" s="260"/>
      <c r="Z78" s="260"/>
    </row>
    <row r="79" ht="13.5" customHeight="1">
      <c r="A79" s="260"/>
      <c r="B79" s="260"/>
      <c r="C79" s="524" t="s">
        <v>241</v>
      </c>
      <c r="D79" s="522">
        <v>1.0</v>
      </c>
      <c r="E79" s="522">
        <v>1.0</v>
      </c>
      <c r="F79" s="569">
        <v>1.0</v>
      </c>
      <c r="G79" s="569">
        <v>1.0</v>
      </c>
      <c r="H79" s="569">
        <v>1.0</v>
      </c>
      <c r="I79" s="569">
        <v>1.0</v>
      </c>
      <c r="J79" s="569">
        <v>1.0</v>
      </c>
      <c r="K79" s="569">
        <v>1.0</v>
      </c>
      <c r="L79" s="569">
        <v>1.0</v>
      </c>
      <c r="M79" s="569">
        <v>1.0</v>
      </c>
      <c r="N79" s="520"/>
      <c r="O79" s="479"/>
      <c r="P79" s="479"/>
      <c r="Q79" s="521"/>
      <c r="R79" s="260"/>
      <c r="S79" s="260"/>
      <c r="T79" s="260"/>
      <c r="U79" s="260"/>
      <c r="V79" s="260"/>
      <c r="W79" s="260"/>
      <c r="X79" s="260"/>
      <c r="Y79" s="260"/>
      <c r="Z79" s="260"/>
    </row>
    <row r="80" ht="13.5" customHeight="1">
      <c r="A80" s="260"/>
      <c r="B80" s="260"/>
      <c r="C80" s="518" t="s">
        <v>294</v>
      </c>
      <c r="D80" s="522" t="s">
        <v>295</v>
      </c>
      <c r="E80" s="522" t="s">
        <v>296</v>
      </c>
      <c r="F80" s="569">
        <v>6.4793681373186E14</v>
      </c>
      <c r="G80" s="569">
        <v>6.48273243175364E14</v>
      </c>
      <c r="H80" s="569">
        <v>6.52071150791481E14</v>
      </c>
      <c r="I80" s="569">
        <v>6.48691674809415E14</v>
      </c>
      <c r="J80" s="569">
        <v>6.48645294554667E14</v>
      </c>
      <c r="K80" s="569" t="s">
        <v>297</v>
      </c>
      <c r="L80" s="569">
        <v>6.51515228002361E14</v>
      </c>
      <c r="M80" s="569">
        <v>6.55547797928654E14</v>
      </c>
      <c r="N80" s="520"/>
      <c r="O80" s="479"/>
      <c r="P80" s="479"/>
      <c r="Q80" s="521"/>
      <c r="R80" s="260"/>
      <c r="S80" s="260"/>
      <c r="T80" s="260"/>
      <c r="U80" s="260"/>
      <c r="V80" s="260"/>
      <c r="W80" s="260"/>
      <c r="X80" s="260"/>
      <c r="Y80" s="260"/>
      <c r="Z80" s="260"/>
    </row>
    <row r="81" ht="13.5" customHeight="1">
      <c r="A81" s="260"/>
      <c r="B81" s="260"/>
      <c r="C81" s="518" t="s">
        <v>187</v>
      </c>
      <c r="D81" s="522" t="s">
        <v>298</v>
      </c>
      <c r="E81" s="522" t="s">
        <v>298</v>
      </c>
      <c r="F81" s="522" t="s">
        <v>298</v>
      </c>
      <c r="G81" s="522" t="s">
        <v>298</v>
      </c>
      <c r="H81" s="522" t="s">
        <v>298</v>
      </c>
      <c r="I81" s="522" t="s">
        <v>299</v>
      </c>
      <c r="J81" s="522" t="s">
        <v>299</v>
      </c>
      <c r="K81" s="522" t="s">
        <v>299</v>
      </c>
      <c r="L81" s="522" t="s">
        <v>299</v>
      </c>
      <c r="M81" s="522" t="s">
        <v>299</v>
      </c>
      <c r="N81" s="520"/>
      <c r="O81" s="479"/>
      <c r="P81" s="479"/>
      <c r="Q81" s="521"/>
      <c r="R81" s="260"/>
      <c r="S81" s="260"/>
      <c r="T81" s="260"/>
      <c r="U81" s="260"/>
      <c r="V81" s="260"/>
      <c r="W81" s="260"/>
      <c r="X81" s="260"/>
      <c r="Y81" s="260"/>
      <c r="Z81" s="260"/>
    </row>
    <row r="82" ht="13.5" customHeight="1">
      <c r="A82" s="260"/>
      <c r="B82" s="260"/>
      <c r="C82" s="570" t="s">
        <v>243</v>
      </c>
      <c r="D82" s="571" t="s">
        <v>300</v>
      </c>
      <c r="E82" s="571" t="s">
        <v>301</v>
      </c>
      <c r="F82" s="522" t="s">
        <v>245</v>
      </c>
      <c r="G82" s="522" t="s">
        <v>302</v>
      </c>
      <c r="H82" s="522" t="s">
        <v>302</v>
      </c>
      <c r="I82" s="522" t="s">
        <v>303</v>
      </c>
      <c r="J82" s="522" t="s">
        <v>303</v>
      </c>
      <c r="K82" s="522" t="s">
        <v>303</v>
      </c>
      <c r="L82" s="571" t="s">
        <v>301</v>
      </c>
      <c r="M82" s="571" t="s">
        <v>301</v>
      </c>
      <c r="N82" s="520"/>
      <c r="O82" s="479"/>
      <c r="P82" s="479"/>
      <c r="Q82" s="521"/>
      <c r="R82" s="260"/>
      <c r="S82" s="260"/>
      <c r="T82" s="260"/>
      <c r="U82" s="260"/>
      <c r="V82" s="260"/>
      <c r="W82" s="260"/>
      <c r="X82" s="260"/>
      <c r="Y82" s="260"/>
      <c r="Z82" s="260"/>
    </row>
    <row r="83" ht="13.5" customHeight="1">
      <c r="A83" s="260"/>
      <c r="B83" s="260"/>
      <c r="C83" s="572" t="s">
        <v>304</v>
      </c>
      <c r="D83" s="528" t="s">
        <v>305</v>
      </c>
      <c r="E83" s="527" t="s">
        <v>306</v>
      </c>
      <c r="F83" s="527" t="s">
        <v>307</v>
      </c>
      <c r="G83" s="573" t="s">
        <v>305</v>
      </c>
      <c r="H83" s="528" t="s">
        <v>305</v>
      </c>
      <c r="I83" s="527" t="s">
        <v>308</v>
      </c>
      <c r="J83" s="527" t="s">
        <v>308</v>
      </c>
      <c r="K83" s="527" t="s">
        <v>309</v>
      </c>
      <c r="L83" s="574" t="s">
        <v>310</v>
      </c>
      <c r="M83" s="574" t="s">
        <v>311</v>
      </c>
      <c r="N83" s="520"/>
      <c r="O83" s="479"/>
      <c r="P83" s="479"/>
      <c r="Q83" s="521"/>
      <c r="R83" s="260"/>
      <c r="S83" s="260"/>
      <c r="T83" s="260"/>
      <c r="U83" s="260"/>
      <c r="V83" s="260"/>
      <c r="W83" s="260"/>
      <c r="X83" s="260"/>
      <c r="Y83" s="260"/>
      <c r="Z83" s="260"/>
    </row>
    <row r="84" ht="13.5" customHeight="1">
      <c r="A84" s="260"/>
      <c r="B84" s="260"/>
      <c r="C84" s="575" t="s">
        <v>190</v>
      </c>
      <c r="D84" s="576" t="s">
        <v>312</v>
      </c>
      <c r="E84" s="576" t="s">
        <v>313</v>
      </c>
      <c r="F84" s="522" t="s">
        <v>314</v>
      </c>
      <c r="G84" s="522" t="s">
        <v>315</v>
      </c>
      <c r="H84" s="522" t="s">
        <v>316</v>
      </c>
      <c r="I84" s="522" t="s">
        <v>317</v>
      </c>
      <c r="J84" s="522" t="s">
        <v>318</v>
      </c>
      <c r="K84" s="522" t="s">
        <v>319</v>
      </c>
      <c r="L84" s="576" t="s">
        <v>320</v>
      </c>
      <c r="M84" s="576" t="s">
        <v>321</v>
      </c>
      <c r="N84" s="520"/>
      <c r="O84" s="479"/>
      <c r="P84" s="479"/>
      <c r="Q84" s="521"/>
      <c r="R84" s="260"/>
      <c r="S84" s="260"/>
      <c r="T84" s="260"/>
      <c r="U84" s="260"/>
      <c r="V84" s="260"/>
      <c r="W84" s="260"/>
      <c r="X84" s="260"/>
      <c r="Y84" s="260"/>
      <c r="Z84" s="260"/>
    </row>
    <row r="85" ht="13.5" customHeight="1">
      <c r="A85" s="260"/>
      <c r="B85" s="260"/>
      <c r="C85" s="514"/>
      <c r="D85" s="479"/>
      <c r="E85" s="479"/>
      <c r="F85" s="479"/>
      <c r="G85" s="479"/>
      <c r="H85" s="479"/>
      <c r="I85" s="479"/>
      <c r="J85" s="479"/>
      <c r="K85" s="479"/>
      <c r="L85" s="479"/>
      <c r="M85" s="577"/>
      <c r="N85" s="520"/>
      <c r="O85" s="479"/>
      <c r="P85" s="479"/>
      <c r="Q85" s="521"/>
      <c r="R85" s="260"/>
      <c r="S85" s="260"/>
      <c r="T85" s="260"/>
      <c r="U85" s="260"/>
      <c r="V85" s="260"/>
      <c r="W85" s="260"/>
      <c r="X85" s="260"/>
      <c r="Y85" s="260"/>
      <c r="Z85" s="260"/>
    </row>
    <row r="86" ht="13.5" customHeight="1">
      <c r="A86" s="532"/>
      <c r="B86" s="532"/>
      <c r="C86" s="533" t="s">
        <v>286</v>
      </c>
      <c r="D86" s="535"/>
      <c r="E86" s="535"/>
      <c r="F86" s="535"/>
      <c r="G86" s="535"/>
      <c r="H86" s="535"/>
      <c r="I86" s="535"/>
      <c r="J86" s="535"/>
      <c r="K86" s="535"/>
      <c r="L86" s="535"/>
      <c r="M86" s="535"/>
      <c r="N86" s="534" t="s">
        <v>163</v>
      </c>
      <c r="O86" s="535"/>
      <c r="P86" s="535"/>
      <c r="Q86" s="535"/>
      <c r="R86" s="536"/>
      <c r="S86" s="536"/>
      <c r="T86" s="260"/>
      <c r="U86" s="260"/>
      <c r="V86" s="260"/>
      <c r="W86" s="260"/>
      <c r="X86" s="260"/>
      <c r="Y86" s="260"/>
      <c r="Z86" s="260"/>
    </row>
    <row r="87" ht="13.5" customHeight="1">
      <c r="A87" s="260"/>
      <c r="B87" s="260"/>
      <c r="C87" s="537" t="s">
        <v>192</v>
      </c>
      <c r="D87" s="538">
        <v>0.3</v>
      </c>
      <c r="E87" s="538">
        <v>1.0</v>
      </c>
      <c r="F87" s="538">
        <v>1.4</v>
      </c>
      <c r="G87" s="538">
        <v>1.4</v>
      </c>
      <c r="H87" s="538">
        <v>0.6</v>
      </c>
      <c r="I87" s="538">
        <v>1.5</v>
      </c>
      <c r="J87" s="538">
        <v>1.0</v>
      </c>
      <c r="K87" s="538">
        <v>0.5</v>
      </c>
      <c r="L87" s="538">
        <v>1.5</v>
      </c>
      <c r="M87" s="538">
        <v>2.3</v>
      </c>
      <c r="N87" s="538">
        <f t="shared" ref="N87:N90" si="30">AVERAGE(D87:M87)</f>
        <v>1.15</v>
      </c>
      <c r="O87" s="539"/>
      <c r="P87" s="540"/>
      <c r="T87" s="260"/>
      <c r="U87" s="260"/>
      <c r="V87" s="260"/>
      <c r="W87" s="260"/>
      <c r="X87" s="260"/>
      <c r="Y87" s="260"/>
      <c r="Z87" s="260"/>
    </row>
    <row r="88" ht="13.5" customHeight="1">
      <c r="A88" s="260"/>
      <c r="B88" s="260"/>
      <c r="C88" s="537" t="s">
        <v>193</v>
      </c>
      <c r="D88" s="541">
        <f t="shared" ref="D88:M88" si="29">D$75/D79</f>
        <v>167.58</v>
      </c>
      <c r="E88" s="541">
        <f t="shared" si="29"/>
        <v>51.46</v>
      </c>
      <c r="F88" s="541">
        <f t="shared" si="29"/>
        <v>38.19</v>
      </c>
      <c r="G88" s="541">
        <f t="shared" si="29"/>
        <v>42.33</v>
      </c>
      <c r="H88" s="541">
        <f t="shared" si="29"/>
        <v>93.29</v>
      </c>
      <c r="I88" s="541">
        <f t="shared" si="29"/>
        <v>37.23</v>
      </c>
      <c r="J88" s="541">
        <f t="shared" si="29"/>
        <v>50.21</v>
      </c>
      <c r="K88" s="541">
        <f t="shared" si="29"/>
        <v>99.44</v>
      </c>
      <c r="L88" s="541">
        <f t="shared" si="29"/>
        <v>36.66</v>
      </c>
      <c r="M88" s="541">
        <f t="shared" si="29"/>
        <v>23.79</v>
      </c>
      <c r="N88" s="500">
        <f t="shared" si="30"/>
        <v>64.018</v>
      </c>
      <c r="O88" s="539"/>
      <c r="P88" s="542"/>
      <c r="Q88" s="540"/>
      <c r="R88" s="540"/>
      <c r="S88" s="540"/>
      <c r="T88" s="260"/>
      <c r="U88" s="260"/>
      <c r="V88" s="260"/>
      <c r="W88" s="260"/>
      <c r="X88" s="260"/>
      <c r="Y88" s="260"/>
      <c r="Z88" s="260"/>
    </row>
    <row r="89" ht="13.5" customHeight="1">
      <c r="A89" s="260"/>
      <c r="B89" s="260"/>
      <c r="C89" s="537" t="s">
        <v>194</v>
      </c>
      <c r="D89" s="500">
        <f t="shared" ref="D89:M89" si="31">D88*D$87</f>
        <v>50.274</v>
      </c>
      <c r="E89" s="500">
        <f t="shared" si="31"/>
        <v>51.46</v>
      </c>
      <c r="F89" s="500">
        <f t="shared" si="31"/>
        <v>53.466</v>
      </c>
      <c r="G89" s="500">
        <f t="shared" si="31"/>
        <v>59.262</v>
      </c>
      <c r="H89" s="500">
        <f t="shared" si="31"/>
        <v>55.974</v>
      </c>
      <c r="I89" s="500">
        <f t="shared" si="31"/>
        <v>55.845</v>
      </c>
      <c r="J89" s="500">
        <f t="shared" si="31"/>
        <v>50.21</v>
      </c>
      <c r="K89" s="500">
        <f t="shared" si="31"/>
        <v>49.72</v>
      </c>
      <c r="L89" s="500">
        <f t="shared" si="31"/>
        <v>54.99</v>
      </c>
      <c r="M89" s="500">
        <f t="shared" si="31"/>
        <v>54.717</v>
      </c>
      <c r="N89" s="500">
        <f t="shared" si="30"/>
        <v>53.5918</v>
      </c>
      <c r="O89" s="539"/>
      <c r="P89" s="542"/>
      <c r="Q89" s="540"/>
      <c r="R89" s="540"/>
      <c r="S89" s="540"/>
      <c r="T89" s="260"/>
      <c r="U89" s="260"/>
      <c r="V89" s="260"/>
      <c r="W89" s="260"/>
      <c r="X89" s="260"/>
      <c r="Y89" s="260"/>
      <c r="Z89" s="260"/>
    </row>
    <row r="90" ht="13.5" customHeight="1">
      <c r="A90" s="260"/>
      <c r="B90" s="260"/>
      <c r="C90" s="537" t="s">
        <v>195</v>
      </c>
      <c r="D90" s="500">
        <f t="shared" ref="D90:M90" si="32">D89*(1+0.05)</f>
        <v>52.7877</v>
      </c>
      <c r="E90" s="500">
        <f t="shared" si="32"/>
        <v>54.033</v>
      </c>
      <c r="F90" s="500">
        <f t="shared" si="32"/>
        <v>56.1393</v>
      </c>
      <c r="G90" s="500">
        <f t="shared" si="32"/>
        <v>62.2251</v>
      </c>
      <c r="H90" s="500">
        <f t="shared" si="32"/>
        <v>58.7727</v>
      </c>
      <c r="I90" s="500">
        <f t="shared" si="32"/>
        <v>58.63725</v>
      </c>
      <c r="J90" s="500">
        <f t="shared" si="32"/>
        <v>52.7205</v>
      </c>
      <c r="K90" s="500">
        <f t="shared" si="32"/>
        <v>52.206</v>
      </c>
      <c r="L90" s="500">
        <f t="shared" si="32"/>
        <v>57.7395</v>
      </c>
      <c r="M90" s="500">
        <f t="shared" si="32"/>
        <v>57.45285</v>
      </c>
      <c r="N90" s="500">
        <f t="shared" si="30"/>
        <v>56.27139</v>
      </c>
      <c r="O90" s="543"/>
      <c r="P90" s="543"/>
      <c r="Q90" s="543"/>
      <c r="R90" s="543"/>
      <c r="S90" s="539"/>
      <c r="T90" s="260"/>
      <c r="U90" s="260"/>
      <c r="V90" s="260"/>
      <c r="W90" s="260"/>
      <c r="X90" s="260"/>
      <c r="Y90" s="260"/>
      <c r="Z90" s="260"/>
    </row>
    <row r="91" ht="13.5" customHeight="1">
      <c r="A91" s="260"/>
      <c r="B91" s="260"/>
      <c r="C91" s="544" t="s">
        <v>196</v>
      </c>
      <c r="D91" s="578">
        <f t="shared" ref="D91:N91" si="33">3600/D90</f>
        <v>68.19770515</v>
      </c>
      <c r="E91" s="578">
        <f t="shared" si="33"/>
        <v>66.62595081</v>
      </c>
      <c r="F91" s="578">
        <f t="shared" si="33"/>
        <v>64.12620036</v>
      </c>
      <c r="G91" s="578">
        <f t="shared" si="33"/>
        <v>57.85446709</v>
      </c>
      <c r="H91" s="578">
        <f t="shared" si="33"/>
        <v>61.25292866</v>
      </c>
      <c r="I91" s="578">
        <f t="shared" si="33"/>
        <v>61.39442078</v>
      </c>
      <c r="J91" s="578">
        <f t="shared" si="33"/>
        <v>68.28463311</v>
      </c>
      <c r="K91" s="578">
        <f t="shared" si="33"/>
        <v>68.95759108</v>
      </c>
      <c r="L91" s="578">
        <f t="shared" si="33"/>
        <v>62.34899852</v>
      </c>
      <c r="M91" s="578">
        <f t="shared" si="33"/>
        <v>62.66007692</v>
      </c>
      <c r="N91" s="546">
        <f t="shared" si="33"/>
        <v>63.97567218</v>
      </c>
      <c r="O91" s="547"/>
      <c r="Q91" s="547"/>
      <c r="R91" s="547"/>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547"/>
      <c r="Q92" s="547"/>
      <c r="R92" s="547"/>
      <c r="S92" s="260"/>
      <c r="T92" s="260"/>
      <c r="U92" s="260"/>
      <c r="V92" s="260"/>
      <c r="W92" s="260"/>
      <c r="X92" s="260"/>
      <c r="Y92" s="260"/>
      <c r="Z92" s="260"/>
    </row>
    <row r="93" ht="13.5" customHeight="1">
      <c r="A93" s="260"/>
      <c r="B93" s="260"/>
      <c r="C93" s="548" t="s">
        <v>265</v>
      </c>
      <c r="D93" s="532"/>
      <c r="E93" s="532"/>
      <c r="F93" s="532"/>
      <c r="G93" s="532"/>
      <c r="H93" s="532"/>
      <c r="I93" s="532"/>
      <c r="J93" s="532"/>
      <c r="K93" s="532"/>
      <c r="L93" s="532"/>
      <c r="M93" s="532"/>
      <c r="N93" s="534" t="s">
        <v>163</v>
      </c>
      <c r="O93" s="260"/>
      <c r="P93" s="260"/>
      <c r="Q93" s="260"/>
      <c r="R93" s="260"/>
      <c r="S93" s="260"/>
      <c r="T93" s="260"/>
      <c r="U93" s="260"/>
      <c r="V93" s="260"/>
      <c r="W93" s="260"/>
      <c r="X93" s="260"/>
      <c r="Y93" s="260"/>
      <c r="Z93" s="260"/>
    </row>
    <row r="94" ht="13.5" customHeight="1">
      <c r="A94" s="260"/>
      <c r="B94" s="260"/>
      <c r="C94" s="537" t="s">
        <v>193</v>
      </c>
      <c r="D94" s="541">
        <f t="shared" ref="D94:M94" si="34">D$75/D78</f>
        <v>3.724</v>
      </c>
      <c r="E94" s="541">
        <f t="shared" si="34"/>
        <v>7.351428571</v>
      </c>
      <c r="F94" s="541">
        <f t="shared" si="34"/>
        <v>38.19</v>
      </c>
      <c r="G94" s="541">
        <f t="shared" si="34"/>
        <v>14.11</v>
      </c>
      <c r="H94" s="541">
        <f t="shared" si="34"/>
        <v>6.663571429</v>
      </c>
      <c r="I94" s="541">
        <f t="shared" si="34"/>
        <v>37.23</v>
      </c>
      <c r="J94" s="541">
        <f t="shared" si="34"/>
        <v>25.105</v>
      </c>
      <c r="K94" s="541">
        <f t="shared" si="34"/>
        <v>49.72</v>
      </c>
      <c r="L94" s="541">
        <f t="shared" si="34"/>
        <v>12.22</v>
      </c>
      <c r="M94" s="541">
        <f t="shared" si="34"/>
        <v>23.79</v>
      </c>
      <c r="N94" s="500">
        <f t="shared" ref="N94:N96" si="36">AVERAGE(D94:M94)</f>
        <v>21.8104</v>
      </c>
      <c r="O94" s="260"/>
      <c r="P94" s="260"/>
      <c r="Q94" s="260"/>
      <c r="R94" s="260"/>
      <c r="S94" s="260"/>
      <c r="T94" s="260"/>
      <c r="U94" s="260"/>
      <c r="V94" s="260"/>
      <c r="W94" s="260"/>
      <c r="X94" s="260"/>
      <c r="Y94" s="260"/>
      <c r="Z94" s="260"/>
    </row>
    <row r="95" ht="13.5" customHeight="1">
      <c r="A95" s="260"/>
      <c r="B95" s="260"/>
      <c r="C95" s="537" t="s">
        <v>194</v>
      </c>
      <c r="D95" s="500">
        <f t="shared" ref="D95:M95" si="35">D94*D$87</f>
        <v>1.1172</v>
      </c>
      <c r="E95" s="500">
        <f t="shared" si="35"/>
        <v>7.351428571</v>
      </c>
      <c r="F95" s="500">
        <f t="shared" si="35"/>
        <v>53.466</v>
      </c>
      <c r="G95" s="500">
        <f t="shared" si="35"/>
        <v>19.754</v>
      </c>
      <c r="H95" s="500">
        <f t="shared" si="35"/>
        <v>3.998142857</v>
      </c>
      <c r="I95" s="500">
        <f t="shared" si="35"/>
        <v>55.845</v>
      </c>
      <c r="J95" s="500">
        <f t="shared" si="35"/>
        <v>25.105</v>
      </c>
      <c r="K95" s="500">
        <f t="shared" si="35"/>
        <v>24.86</v>
      </c>
      <c r="L95" s="500">
        <f t="shared" si="35"/>
        <v>18.33</v>
      </c>
      <c r="M95" s="500">
        <f t="shared" si="35"/>
        <v>54.717</v>
      </c>
      <c r="N95" s="500">
        <f t="shared" si="36"/>
        <v>26.45437714</v>
      </c>
      <c r="O95" s="260"/>
      <c r="P95" s="260"/>
      <c r="Q95" s="260"/>
      <c r="R95" s="260"/>
      <c r="S95" s="260"/>
      <c r="T95" s="260"/>
      <c r="U95" s="260"/>
      <c r="V95" s="260"/>
      <c r="W95" s="260"/>
      <c r="X95" s="260"/>
      <c r="Y95" s="260"/>
      <c r="Z95" s="260"/>
    </row>
    <row r="96" ht="13.5" customHeight="1">
      <c r="A96" s="260"/>
      <c r="B96" s="260"/>
      <c r="C96" s="537" t="s">
        <v>195</v>
      </c>
      <c r="D96" s="500">
        <f t="shared" ref="D96:M96" si="37">D95*(1+0.05)</f>
        <v>1.17306</v>
      </c>
      <c r="E96" s="500">
        <f t="shared" si="37"/>
        <v>7.719</v>
      </c>
      <c r="F96" s="500">
        <f t="shared" si="37"/>
        <v>56.1393</v>
      </c>
      <c r="G96" s="500">
        <f t="shared" si="37"/>
        <v>20.7417</v>
      </c>
      <c r="H96" s="500">
        <f t="shared" si="37"/>
        <v>4.19805</v>
      </c>
      <c r="I96" s="500">
        <f t="shared" si="37"/>
        <v>58.63725</v>
      </c>
      <c r="J96" s="500">
        <f t="shared" si="37"/>
        <v>26.36025</v>
      </c>
      <c r="K96" s="500">
        <f t="shared" si="37"/>
        <v>26.103</v>
      </c>
      <c r="L96" s="500">
        <f t="shared" si="37"/>
        <v>19.2465</v>
      </c>
      <c r="M96" s="500">
        <f t="shared" si="37"/>
        <v>57.45285</v>
      </c>
      <c r="N96" s="500">
        <f t="shared" si="36"/>
        <v>27.777096</v>
      </c>
      <c r="O96" s="260"/>
      <c r="P96" s="260"/>
      <c r="Q96" s="260"/>
      <c r="R96" s="260"/>
      <c r="S96" s="260"/>
      <c r="T96" s="260"/>
      <c r="U96" s="260"/>
      <c r="V96" s="260"/>
      <c r="W96" s="260"/>
      <c r="X96" s="260"/>
      <c r="Y96" s="260"/>
      <c r="Z96" s="260"/>
    </row>
    <row r="97" ht="13.5" customHeight="1">
      <c r="A97" s="260"/>
      <c r="B97" s="260"/>
      <c r="C97" s="544" t="s">
        <v>196</v>
      </c>
      <c r="D97" s="578">
        <f t="shared" ref="D97:N97" si="38">3600/D96</f>
        <v>3068.896732</v>
      </c>
      <c r="E97" s="578">
        <f t="shared" si="38"/>
        <v>466.3816557</v>
      </c>
      <c r="F97" s="578">
        <f t="shared" si="38"/>
        <v>64.12620036</v>
      </c>
      <c r="G97" s="578">
        <f t="shared" si="38"/>
        <v>173.5634013</v>
      </c>
      <c r="H97" s="578">
        <f t="shared" si="38"/>
        <v>857.5410012</v>
      </c>
      <c r="I97" s="578">
        <f t="shared" si="38"/>
        <v>61.39442078</v>
      </c>
      <c r="J97" s="578">
        <f t="shared" si="38"/>
        <v>136.5692662</v>
      </c>
      <c r="K97" s="578">
        <f t="shared" si="38"/>
        <v>137.9151822</v>
      </c>
      <c r="L97" s="578">
        <f t="shared" si="38"/>
        <v>187.0469956</v>
      </c>
      <c r="M97" s="578">
        <f t="shared" si="38"/>
        <v>62.66007692</v>
      </c>
      <c r="N97" s="545">
        <f t="shared" si="38"/>
        <v>129.603181</v>
      </c>
      <c r="O97" s="260"/>
      <c r="P97" s="260"/>
      <c r="Q97" s="260"/>
      <c r="R97" s="260"/>
      <c r="S97" s="260"/>
      <c r="T97" s="260"/>
      <c r="U97" s="260"/>
      <c r="V97" s="260"/>
      <c r="W97" s="260"/>
      <c r="X97" s="260"/>
      <c r="Y97" s="260"/>
      <c r="Z97" s="260"/>
    </row>
    <row r="98" ht="13.5" customHeight="1">
      <c r="A98" s="260"/>
      <c r="B98" s="260"/>
      <c r="C98" s="579"/>
      <c r="D98" s="580"/>
      <c r="E98" s="580"/>
      <c r="F98" s="580"/>
      <c r="G98" s="580"/>
      <c r="H98" s="580"/>
      <c r="I98" s="580"/>
      <c r="J98" s="580"/>
      <c r="K98" s="580"/>
      <c r="L98" s="580"/>
      <c r="M98" s="580"/>
      <c r="N98" s="581"/>
      <c r="O98" s="260"/>
      <c r="P98" s="260"/>
      <c r="Q98" s="260"/>
      <c r="R98" s="260"/>
      <c r="S98" s="260"/>
      <c r="T98" s="260"/>
      <c r="U98" s="260"/>
      <c r="V98" s="260"/>
      <c r="W98" s="260"/>
      <c r="X98" s="260"/>
      <c r="Y98" s="260"/>
      <c r="Z98" s="260"/>
    </row>
    <row r="99" ht="13.5" customHeight="1">
      <c r="A99" s="260"/>
      <c r="B99" s="461"/>
      <c r="C99" s="461"/>
      <c r="D99" s="461"/>
      <c r="E99" s="461"/>
      <c r="F99" s="461"/>
      <c r="G99" s="461"/>
      <c r="H99" s="461"/>
      <c r="I99" s="461"/>
      <c r="J99" s="461"/>
      <c r="K99" s="461"/>
      <c r="L99" s="461"/>
      <c r="M99" s="461"/>
      <c r="N99" s="461"/>
      <c r="O99" s="260"/>
      <c r="P99" s="260"/>
      <c r="Q99" s="260"/>
      <c r="R99" s="260"/>
      <c r="S99" s="260"/>
      <c r="T99" s="260"/>
      <c r="U99" s="260"/>
      <c r="V99" s="260"/>
      <c r="W99" s="260"/>
      <c r="X99" s="260"/>
      <c r="Y99" s="260"/>
      <c r="Z99" s="260"/>
    </row>
    <row r="100" ht="13.5" customHeight="1">
      <c r="A100" s="260"/>
      <c r="B100" s="461"/>
      <c r="C100" s="461"/>
      <c r="D100" s="461"/>
      <c r="E100" s="461"/>
      <c r="F100" s="461"/>
      <c r="G100" s="461"/>
      <c r="H100" s="461"/>
      <c r="I100" s="461"/>
      <c r="J100" s="461"/>
      <c r="K100" s="461"/>
      <c r="L100" s="461"/>
      <c r="M100" s="461"/>
      <c r="N100" s="461"/>
      <c r="O100" s="260"/>
      <c r="P100" s="260"/>
      <c r="Q100" s="260"/>
      <c r="R100" s="260"/>
      <c r="S100" s="260"/>
      <c r="T100" s="260"/>
      <c r="U100" s="260"/>
      <c r="V100" s="260"/>
      <c r="W100" s="260"/>
      <c r="X100" s="260"/>
      <c r="Y100" s="260"/>
      <c r="Z100" s="260"/>
    </row>
    <row r="101" ht="13.5" customHeight="1">
      <c r="A101" s="260"/>
      <c r="B101" s="461"/>
      <c r="C101" s="461"/>
      <c r="D101" s="461"/>
      <c r="E101" s="461"/>
      <c r="F101" s="461"/>
      <c r="G101" s="461"/>
      <c r="H101" s="461"/>
      <c r="I101" s="461"/>
      <c r="J101" s="461"/>
      <c r="K101" s="461"/>
      <c r="L101" s="461"/>
      <c r="M101" s="461"/>
      <c r="N101" s="461"/>
      <c r="O101" s="260"/>
      <c r="P101" s="260"/>
      <c r="Q101" s="260"/>
      <c r="R101" s="260"/>
      <c r="S101" s="260"/>
      <c r="T101" s="260"/>
      <c r="U101" s="260"/>
      <c r="V101" s="260"/>
      <c r="W101" s="260"/>
      <c r="X101" s="260"/>
      <c r="Y101" s="260"/>
      <c r="Z101" s="260"/>
    </row>
    <row r="102" ht="13.5" customHeight="1">
      <c r="A102" s="260"/>
      <c r="B102" s="461" t="s">
        <v>152</v>
      </c>
      <c r="O102" s="260"/>
      <c r="P102" s="260"/>
      <c r="Q102" s="260"/>
      <c r="R102" s="260"/>
      <c r="S102" s="260"/>
      <c r="T102" s="260"/>
      <c r="U102" s="260"/>
      <c r="V102" s="260"/>
      <c r="W102" s="260"/>
      <c r="X102" s="260"/>
      <c r="Y102" s="260"/>
      <c r="Z102" s="260"/>
    </row>
    <row r="103" ht="13.5" customHeight="1">
      <c r="A103" s="260"/>
      <c r="B103" s="462" t="s">
        <v>153</v>
      </c>
      <c r="C103" s="463"/>
      <c r="D103" s="464"/>
      <c r="E103" s="465" t="s">
        <v>154</v>
      </c>
      <c r="F103" s="463"/>
      <c r="G103" s="464"/>
      <c r="H103" s="465" t="s">
        <v>155</v>
      </c>
      <c r="I103" s="463"/>
      <c r="J103" s="464"/>
      <c r="K103" s="465" t="s">
        <v>287</v>
      </c>
      <c r="L103" s="463"/>
      <c r="M103" s="463"/>
      <c r="N103" s="466"/>
      <c r="O103" s="260"/>
      <c r="P103" s="260"/>
      <c r="Q103" s="260"/>
      <c r="R103" s="260"/>
      <c r="S103" s="260"/>
      <c r="T103" s="260"/>
      <c r="U103" s="260"/>
      <c r="V103" s="260"/>
      <c r="W103" s="260"/>
      <c r="X103" s="260"/>
      <c r="Y103" s="260"/>
      <c r="Z103" s="260"/>
    </row>
    <row r="104" ht="13.5" customHeight="1">
      <c r="A104" s="260"/>
      <c r="B104" s="467" t="s">
        <v>322</v>
      </c>
      <c r="C104" s="468"/>
      <c r="D104" s="469"/>
      <c r="E104" s="470" t="s">
        <v>158</v>
      </c>
      <c r="F104" s="468"/>
      <c r="G104" s="469"/>
      <c r="H104" s="555"/>
      <c r="I104" s="468"/>
      <c r="J104" s="469"/>
      <c r="K104" s="472"/>
      <c r="L104" s="468"/>
      <c r="M104" s="468"/>
      <c r="N104" s="473"/>
      <c r="O104" s="260"/>
      <c r="P104" s="260"/>
      <c r="Q104" s="260"/>
      <c r="R104" s="260"/>
      <c r="S104" s="260"/>
      <c r="T104" s="260"/>
      <c r="U104" s="260"/>
      <c r="V104" s="260"/>
      <c r="W104" s="260"/>
      <c r="X104" s="260"/>
      <c r="Y104" s="260"/>
      <c r="Z104" s="260"/>
    </row>
    <row r="105" ht="13.5" customHeight="1">
      <c r="A105" s="260"/>
      <c r="B105" s="474"/>
      <c r="C105" s="475"/>
      <c r="D105" s="476"/>
      <c r="E105" s="477"/>
      <c r="F105" s="475"/>
      <c r="G105" s="476"/>
      <c r="H105" s="477"/>
      <c r="I105" s="475"/>
      <c r="J105" s="476"/>
      <c r="K105" s="477"/>
      <c r="L105" s="475"/>
      <c r="M105" s="475"/>
      <c r="N105" s="478"/>
      <c r="O105" s="260"/>
      <c r="P105" s="260"/>
      <c r="Q105" s="260"/>
      <c r="R105" s="260"/>
      <c r="S105" s="260"/>
      <c r="T105" s="260"/>
      <c r="U105" s="260"/>
      <c r="V105" s="260"/>
      <c r="W105" s="260"/>
      <c r="X105" s="260"/>
      <c r="Y105" s="260"/>
      <c r="Z105" s="260"/>
    </row>
    <row r="106" ht="13.5" customHeight="1">
      <c r="A106" s="260"/>
      <c r="B106" s="479"/>
      <c r="C106" s="479"/>
      <c r="D106" s="479"/>
      <c r="E106" s="479"/>
      <c r="F106" s="479"/>
      <c r="G106" s="479"/>
      <c r="H106" s="479"/>
      <c r="I106" s="479"/>
      <c r="J106" s="479"/>
      <c r="K106" s="480"/>
      <c r="L106" s="480"/>
      <c r="M106" s="480"/>
      <c r="N106" s="480"/>
      <c r="O106" s="260"/>
      <c r="P106" s="260"/>
      <c r="Q106" s="260"/>
      <c r="R106" s="260"/>
      <c r="S106" s="260"/>
      <c r="T106" s="260"/>
      <c r="U106" s="260"/>
      <c r="V106" s="260"/>
      <c r="W106" s="260"/>
      <c r="X106" s="260"/>
      <c r="Y106" s="260"/>
      <c r="Z106" s="260"/>
    </row>
    <row r="107" ht="13.5" customHeight="1">
      <c r="A107" s="260"/>
      <c r="B107" s="481" t="s">
        <v>159</v>
      </c>
      <c r="C107" s="482" t="s">
        <v>160</v>
      </c>
      <c r="D107" s="483" t="s">
        <v>161</v>
      </c>
      <c r="E107" s="463"/>
      <c r="F107" s="463"/>
      <c r="G107" s="463"/>
      <c r="H107" s="463"/>
      <c r="I107" s="463"/>
      <c r="J107" s="463"/>
      <c r="K107" s="463"/>
      <c r="L107" s="463"/>
      <c r="M107" s="464"/>
      <c r="N107" s="484" t="s">
        <v>162</v>
      </c>
      <c r="O107" s="485"/>
      <c r="P107" s="486" t="s">
        <v>163</v>
      </c>
      <c r="Q107" s="487" t="s">
        <v>164</v>
      </c>
      <c r="R107" s="556" t="s">
        <v>289</v>
      </c>
      <c r="S107" s="489" t="s">
        <v>166</v>
      </c>
      <c r="T107" s="490" t="s">
        <v>167</v>
      </c>
      <c r="U107" s="260"/>
      <c r="V107" s="260"/>
      <c r="W107" s="260"/>
      <c r="X107" s="260"/>
      <c r="Y107" s="260"/>
      <c r="Z107" s="260"/>
    </row>
    <row r="108" ht="13.5" customHeight="1">
      <c r="A108" s="260"/>
      <c r="B108" s="491"/>
      <c r="C108" s="117"/>
      <c r="D108" s="492" t="s">
        <v>224</v>
      </c>
      <c r="E108" s="492" t="s">
        <v>225</v>
      </c>
      <c r="F108" s="492" t="s">
        <v>226</v>
      </c>
      <c r="G108" s="492" t="s">
        <v>227</v>
      </c>
      <c r="H108" s="492" t="s">
        <v>228</v>
      </c>
      <c r="I108" s="492" t="s">
        <v>229</v>
      </c>
      <c r="J108" s="492" t="s">
        <v>230</v>
      </c>
      <c r="K108" s="492" t="s">
        <v>231</v>
      </c>
      <c r="L108" s="492" t="s">
        <v>232</v>
      </c>
      <c r="M108" s="492" t="s">
        <v>233</v>
      </c>
      <c r="N108" s="493" t="s">
        <v>234</v>
      </c>
      <c r="O108" s="485"/>
      <c r="P108" s="491"/>
      <c r="Q108" s="117"/>
      <c r="R108" s="557"/>
      <c r="S108" s="495"/>
      <c r="T108" s="496"/>
      <c r="U108" s="260"/>
      <c r="V108" s="260"/>
      <c r="W108" s="260"/>
      <c r="X108" s="260"/>
      <c r="Y108" s="260"/>
      <c r="Z108" s="260"/>
    </row>
    <row r="109" ht="13.5" customHeight="1">
      <c r="A109" s="497"/>
      <c r="B109" s="498">
        <v>1.0</v>
      </c>
      <c r="C109" s="499" t="s">
        <v>323</v>
      </c>
      <c r="D109" s="500">
        <v>85.0</v>
      </c>
      <c r="E109" s="500">
        <v>108.0</v>
      </c>
      <c r="F109" s="500">
        <v>612.0</v>
      </c>
      <c r="G109" s="500">
        <v>1683.0</v>
      </c>
      <c r="H109" s="500">
        <v>1164.0</v>
      </c>
      <c r="I109" s="582"/>
      <c r="J109" s="582"/>
      <c r="K109" s="582"/>
      <c r="L109" s="582"/>
      <c r="M109" s="582"/>
      <c r="N109" s="501">
        <f t="shared" ref="N109:N110" si="40">SUM(D109:M109)</f>
        <v>3652</v>
      </c>
      <c r="O109" s="485"/>
      <c r="P109" s="558">
        <f>AVERAGE(D109:H109)</f>
        <v>730.4</v>
      </c>
      <c r="Q109" s="559">
        <f>MAX(D109:H109)</f>
        <v>1683</v>
      </c>
      <c r="R109" s="560">
        <f>P109/$P$110</f>
        <v>1</v>
      </c>
      <c r="S109" s="561" t="s">
        <v>291</v>
      </c>
      <c r="T109" s="562" t="s">
        <v>292</v>
      </c>
      <c r="U109" s="260"/>
      <c r="V109" s="260"/>
      <c r="W109" s="260"/>
      <c r="X109" s="260"/>
      <c r="Y109" s="260"/>
      <c r="Z109" s="260"/>
    </row>
    <row r="110" ht="13.5" customHeight="1">
      <c r="A110" s="485"/>
      <c r="B110" s="507"/>
      <c r="C110" s="508" t="s">
        <v>180</v>
      </c>
      <c r="D110" s="509">
        <f t="shared" ref="D110:H110" si="39">SUM(D109)</f>
        <v>85</v>
      </c>
      <c r="E110" s="509">
        <f t="shared" si="39"/>
        <v>108</v>
      </c>
      <c r="F110" s="509">
        <f t="shared" si="39"/>
        <v>612</v>
      </c>
      <c r="G110" s="509">
        <f t="shared" si="39"/>
        <v>1683</v>
      </c>
      <c r="H110" s="509">
        <f t="shared" si="39"/>
        <v>1164</v>
      </c>
      <c r="I110" s="583"/>
      <c r="J110" s="583"/>
      <c r="K110" s="583"/>
      <c r="L110" s="583"/>
      <c r="M110" s="583"/>
      <c r="N110" s="510">
        <f t="shared" si="40"/>
        <v>3652</v>
      </c>
      <c r="O110" s="479" t="s">
        <v>10</v>
      </c>
      <c r="P110" s="511">
        <f t="shared" ref="P110:R110" si="41">SUM(P109)</f>
        <v>730.4</v>
      </c>
      <c r="Q110" s="512">
        <f t="shared" si="41"/>
        <v>1683</v>
      </c>
      <c r="R110" s="513">
        <f t="shared" si="41"/>
        <v>1</v>
      </c>
      <c r="S110" s="485"/>
      <c r="T110" s="260"/>
      <c r="U110" s="260"/>
      <c r="V110" s="260"/>
      <c r="W110" s="260"/>
      <c r="X110" s="260"/>
      <c r="Y110" s="260"/>
      <c r="Z110" s="260"/>
    </row>
    <row r="111" ht="13.5" customHeight="1">
      <c r="A111" s="260"/>
      <c r="B111" s="260"/>
      <c r="C111" s="514"/>
      <c r="D111" s="515">
        <f t="shared" ref="D111:H111" si="42">D110/60</f>
        <v>1.416666667</v>
      </c>
      <c r="E111" s="515">
        <f t="shared" si="42"/>
        <v>1.8</v>
      </c>
      <c r="F111" s="515">
        <f t="shared" si="42"/>
        <v>10.2</v>
      </c>
      <c r="G111" s="515">
        <f t="shared" si="42"/>
        <v>28.05</v>
      </c>
      <c r="H111" s="515">
        <f t="shared" si="42"/>
        <v>19.4</v>
      </c>
      <c r="I111" s="584"/>
      <c r="J111" s="584"/>
      <c r="K111" s="584"/>
      <c r="L111" s="584"/>
      <c r="M111" s="584"/>
      <c r="N111" s="516">
        <f>N110/60</f>
        <v>60.86666667</v>
      </c>
      <c r="O111" s="260"/>
      <c r="P111" s="260"/>
      <c r="Q111" s="260"/>
      <c r="R111" s="260"/>
      <c r="S111" s="260"/>
      <c r="T111" s="260"/>
      <c r="U111" s="260"/>
      <c r="V111" s="260"/>
      <c r="W111" s="260"/>
      <c r="X111" s="260"/>
      <c r="Y111" s="260"/>
      <c r="Z111" s="260"/>
    </row>
    <row r="112" ht="13.5" customHeight="1">
      <c r="A112" s="260"/>
      <c r="B112" s="260"/>
      <c r="C112" s="514"/>
      <c r="D112" s="515">
        <f t="shared" ref="D112:H112" si="43">D111/D114</f>
        <v>1.416666667</v>
      </c>
      <c r="E112" s="515">
        <f t="shared" si="43"/>
        <v>1.8</v>
      </c>
      <c r="F112" s="515">
        <f t="shared" si="43"/>
        <v>1.7</v>
      </c>
      <c r="G112" s="515">
        <f t="shared" si="43"/>
        <v>2.003571429</v>
      </c>
      <c r="H112" s="515">
        <f t="shared" si="43"/>
        <v>2.155555556</v>
      </c>
      <c r="I112" s="584"/>
      <c r="J112" s="584"/>
      <c r="K112" s="584"/>
      <c r="L112" s="584"/>
      <c r="M112" s="584"/>
      <c r="N112" s="517" t="s">
        <v>182</v>
      </c>
      <c r="O112" s="479"/>
      <c r="P112" s="515"/>
      <c r="Q112" s="515"/>
      <c r="R112" s="479"/>
      <c r="S112" s="260"/>
      <c r="T112" s="260"/>
      <c r="U112" s="260"/>
      <c r="V112" s="260"/>
      <c r="W112" s="260"/>
      <c r="X112" s="260"/>
      <c r="Y112" s="260"/>
      <c r="Z112" s="260"/>
    </row>
    <row r="113" ht="13.5" customHeight="1">
      <c r="A113" s="260"/>
      <c r="B113" s="260"/>
      <c r="C113" s="518" t="s">
        <v>294</v>
      </c>
      <c r="D113" s="522" t="s">
        <v>324</v>
      </c>
      <c r="E113" s="522">
        <v>6.51046832008139E14</v>
      </c>
      <c r="F113" s="522" t="s">
        <v>325</v>
      </c>
      <c r="G113" s="585" t="s">
        <v>326</v>
      </c>
      <c r="H113" s="522" t="s">
        <v>327</v>
      </c>
      <c r="I113" s="586"/>
      <c r="J113" s="586"/>
      <c r="K113" s="586"/>
      <c r="L113" s="586"/>
      <c r="M113" s="586"/>
      <c r="N113" s="520"/>
      <c r="O113" s="479"/>
      <c r="P113" s="479"/>
      <c r="Q113" s="521"/>
      <c r="R113" s="260"/>
      <c r="S113" s="260"/>
      <c r="T113" s="260"/>
      <c r="U113" s="260"/>
      <c r="V113" s="260"/>
      <c r="W113" s="260"/>
      <c r="X113" s="260"/>
      <c r="Y113" s="260"/>
      <c r="Z113" s="260"/>
    </row>
    <row r="114" ht="13.5" customHeight="1">
      <c r="A114" s="260"/>
      <c r="B114" s="260"/>
      <c r="C114" s="524" t="s">
        <v>241</v>
      </c>
      <c r="D114" s="522">
        <v>1.0</v>
      </c>
      <c r="E114" s="522">
        <v>1.0</v>
      </c>
      <c r="F114" s="569">
        <v>6.0</v>
      </c>
      <c r="G114" s="569">
        <v>14.0</v>
      </c>
      <c r="H114" s="569">
        <v>9.0</v>
      </c>
      <c r="I114" s="587"/>
      <c r="J114" s="587"/>
      <c r="K114" s="587"/>
      <c r="L114" s="587"/>
      <c r="M114" s="587"/>
      <c r="N114" s="520"/>
      <c r="O114" s="479"/>
      <c r="P114" s="479"/>
      <c r="Q114" s="521"/>
      <c r="R114" s="260"/>
      <c r="S114" s="260"/>
      <c r="T114" s="260"/>
      <c r="U114" s="260"/>
      <c r="V114" s="260"/>
      <c r="W114" s="260"/>
      <c r="X114" s="260"/>
      <c r="Y114" s="260"/>
      <c r="Z114" s="260"/>
    </row>
    <row r="115" ht="13.5" customHeight="1">
      <c r="A115" s="260"/>
      <c r="B115" s="260"/>
      <c r="C115" s="518" t="s">
        <v>187</v>
      </c>
      <c r="D115" s="522" t="s">
        <v>328</v>
      </c>
      <c r="E115" s="522" t="s">
        <v>328</v>
      </c>
      <c r="F115" s="522" t="s">
        <v>328</v>
      </c>
      <c r="G115" s="522" t="s">
        <v>328</v>
      </c>
      <c r="H115" s="522" t="s">
        <v>328</v>
      </c>
      <c r="I115" s="586"/>
      <c r="J115" s="586"/>
      <c r="K115" s="586"/>
      <c r="L115" s="586"/>
      <c r="M115" s="586"/>
      <c r="N115" s="520"/>
      <c r="O115" s="479"/>
      <c r="P115" s="479"/>
      <c r="Q115" s="521"/>
      <c r="R115" s="260"/>
      <c r="S115" s="260"/>
      <c r="T115" s="260"/>
      <c r="U115" s="260"/>
      <c r="V115" s="260"/>
      <c r="W115" s="260"/>
      <c r="X115" s="260"/>
      <c r="Y115" s="260"/>
      <c r="Z115" s="260"/>
    </row>
    <row r="116" ht="13.5" customHeight="1">
      <c r="A116" s="260"/>
      <c r="B116" s="260"/>
      <c r="C116" s="518" t="s">
        <v>243</v>
      </c>
      <c r="D116" s="522" t="s">
        <v>329</v>
      </c>
      <c r="E116" s="522" t="s">
        <v>329</v>
      </c>
      <c r="F116" s="522" t="s">
        <v>330</v>
      </c>
      <c r="G116" s="522" t="s">
        <v>330</v>
      </c>
      <c r="H116" s="522" t="s">
        <v>331</v>
      </c>
      <c r="I116" s="586"/>
      <c r="J116" s="586"/>
      <c r="K116" s="586"/>
      <c r="L116" s="588"/>
      <c r="M116" s="588"/>
      <c r="N116" s="520"/>
      <c r="O116" s="479"/>
      <c r="P116" s="479"/>
      <c r="Q116" s="521"/>
      <c r="R116" s="260"/>
      <c r="S116" s="260"/>
      <c r="T116" s="260"/>
      <c r="U116" s="260"/>
      <c r="V116" s="260"/>
      <c r="W116" s="260"/>
      <c r="X116" s="260"/>
      <c r="Y116" s="260"/>
      <c r="Z116" s="260"/>
    </row>
    <row r="117" ht="13.5" customHeight="1">
      <c r="A117" s="260"/>
      <c r="B117" s="260"/>
      <c r="C117" s="518" t="s">
        <v>189</v>
      </c>
      <c r="D117" s="528">
        <v>3.0</v>
      </c>
      <c r="E117" s="527">
        <v>3.0</v>
      </c>
      <c r="F117" s="527">
        <v>3.0</v>
      </c>
      <c r="G117" s="528">
        <v>3.0</v>
      </c>
      <c r="H117" s="528">
        <v>3.0</v>
      </c>
      <c r="I117" s="589"/>
      <c r="J117" s="589"/>
      <c r="K117" s="589"/>
      <c r="L117" s="589"/>
      <c r="M117" s="589"/>
      <c r="N117" s="520"/>
      <c r="O117" s="479"/>
      <c r="P117" s="479"/>
      <c r="Q117" s="521"/>
      <c r="R117" s="260"/>
      <c r="S117" s="260"/>
      <c r="T117" s="260"/>
      <c r="U117" s="260"/>
      <c r="V117" s="260"/>
      <c r="W117" s="260"/>
      <c r="X117" s="260"/>
      <c r="Y117" s="260"/>
      <c r="Z117" s="260"/>
    </row>
    <row r="118" ht="13.5" customHeight="1">
      <c r="A118" s="260"/>
      <c r="B118" s="260"/>
      <c r="C118" s="590" t="s">
        <v>304</v>
      </c>
      <c r="D118" s="528"/>
      <c r="E118" s="527"/>
      <c r="F118" s="527"/>
      <c r="G118" s="591"/>
      <c r="H118" s="528"/>
      <c r="I118" s="589"/>
      <c r="J118" s="589"/>
      <c r="K118" s="589"/>
      <c r="L118" s="592"/>
      <c r="M118" s="592"/>
      <c r="N118" s="520"/>
      <c r="O118" s="479"/>
      <c r="P118" s="479"/>
      <c r="Q118" s="521"/>
      <c r="R118" s="260"/>
      <c r="S118" s="260"/>
      <c r="T118" s="260"/>
      <c r="U118" s="260"/>
      <c r="V118" s="260"/>
      <c r="W118" s="260"/>
      <c r="X118" s="260"/>
      <c r="Y118" s="260"/>
      <c r="Z118" s="260"/>
    </row>
    <row r="119" ht="13.5" customHeight="1">
      <c r="A119" s="260"/>
      <c r="B119" s="260"/>
      <c r="C119" s="575" t="s">
        <v>190</v>
      </c>
      <c r="D119" s="576" t="s">
        <v>312</v>
      </c>
      <c r="E119" s="576" t="s">
        <v>313</v>
      </c>
      <c r="F119" s="522" t="s">
        <v>314</v>
      </c>
      <c r="G119" s="522" t="s">
        <v>315</v>
      </c>
      <c r="H119" s="522" t="s">
        <v>316</v>
      </c>
      <c r="I119" s="586"/>
      <c r="J119" s="586"/>
      <c r="K119" s="586"/>
      <c r="L119" s="593"/>
      <c r="M119" s="593"/>
      <c r="N119" s="520"/>
      <c r="O119" s="479"/>
      <c r="P119" s="479"/>
      <c r="Q119" s="521"/>
      <c r="R119" s="260"/>
      <c r="S119" s="260"/>
      <c r="T119" s="260"/>
      <c r="U119" s="260"/>
      <c r="V119" s="260"/>
      <c r="W119" s="260"/>
      <c r="X119" s="260"/>
      <c r="Y119" s="260"/>
      <c r="Z119" s="260"/>
    </row>
    <row r="120" ht="13.5" customHeight="1">
      <c r="A120" s="260"/>
      <c r="B120" s="260"/>
      <c r="C120" s="514"/>
      <c r="D120" s="479"/>
      <c r="E120" s="479"/>
      <c r="F120" s="479"/>
      <c r="G120" s="479"/>
      <c r="H120" s="479"/>
      <c r="I120" s="594"/>
      <c r="J120" s="594"/>
      <c r="K120" s="594"/>
      <c r="L120" s="594"/>
      <c r="M120" s="595"/>
      <c r="N120" s="520"/>
      <c r="O120" s="479"/>
      <c r="P120" s="479"/>
      <c r="Q120" s="521"/>
      <c r="R120" s="260"/>
      <c r="S120" s="260"/>
      <c r="T120" s="260"/>
      <c r="U120" s="260"/>
      <c r="V120" s="260"/>
      <c r="W120" s="260"/>
      <c r="X120" s="260"/>
      <c r="Y120" s="260"/>
      <c r="Z120" s="260"/>
    </row>
    <row r="121" ht="13.5" customHeight="1">
      <c r="A121" s="532"/>
      <c r="B121" s="532"/>
      <c r="C121" s="533" t="s">
        <v>286</v>
      </c>
      <c r="D121" s="532"/>
      <c r="E121" s="532"/>
      <c r="F121" s="532"/>
      <c r="G121" s="532"/>
      <c r="H121" s="532"/>
      <c r="I121" s="596"/>
      <c r="J121" s="596"/>
      <c r="K121" s="596"/>
      <c r="L121" s="596"/>
      <c r="M121" s="596"/>
      <c r="N121" s="534" t="s">
        <v>163</v>
      </c>
      <c r="O121" s="535"/>
      <c r="P121" s="535"/>
      <c r="Q121" s="535"/>
      <c r="R121" s="536"/>
      <c r="S121" s="536"/>
      <c r="T121" s="260"/>
      <c r="U121" s="260"/>
      <c r="V121" s="260"/>
      <c r="W121" s="260"/>
      <c r="X121" s="260"/>
      <c r="Y121" s="260"/>
      <c r="Z121" s="260"/>
    </row>
    <row r="122" ht="13.5" customHeight="1">
      <c r="A122" s="260"/>
      <c r="B122" s="260"/>
      <c r="C122" s="537" t="s">
        <v>192</v>
      </c>
      <c r="D122" s="538">
        <v>1.1</v>
      </c>
      <c r="E122" s="538">
        <v>1.0</v>
      </c>
      <c r="F122" s="538">
        <v>1.0</v>
      </c>
      <c r="G122" s="538">
        <v>1.0</v>
      </c>
      <c r="H122" s="538">
        <v>0.95</v>
      </c>
      <c r="I122" s="597"/>
      <c r="J122" s="597"/>
      <c r="K122" s="597"/>
      <c r="L122" s="597"/>
      <c r="M122" s="597"/>
      <c r="N122" s="539"/>
      <c r="O122" s="539"/>
      <c r="P122" s="540"/>
      <c r="T122" s="260"/>
      <c r="U122" s="260"/>
      <c r="V122" s="260"/>
      <c r="W122" s="260"/>
      <c r="X122" s="260"/>
      <c r="Y122" s="260"/>
      <c r="Z122" s="260"/>
    </row>
    <row r="123" ht="13.5" customHeight="1">
      <c r="A123" s="260"/>
      <c r="B123" s="260"/>
      <c r="C123" s="537" t="s">
        <v>193</v>
      </c>
      <c r="D123" s="541">
        <f t="shared" ref="D123:H123" si="44">(D110/D$114)*D117</f>
        <v>255</v>
      </c>
      <c r="E123" s="541">
        <f t="shared" si="44"/>
        <v>324</v>
      </c>
      <c r="F123" s="541">
        <f t="shared" si="44"/>
        <v>306</v>
      </c>
      <c r="G123" s="541">
        <f t="shared" si="44"/>
        <v>360.6428571</v>
      </c>
      <c r="H123" s="541">
        <f t="shared" si="44"/>
        <v>388</v>
      </c>
      <c r="I123" s="598"/>
      <c r="J123" s="598"/>
      <c r="K123" s="598"/>
      <c r="L123" s="598"/>
      <c r="M123" s="598"/>
      <c r="N123" s="500">
        <f t="shared" ref="N123:N125" si="46">AVERAGE(D123:H123)</f>
        <v>326.7285714</v>
      </c>
      <c r="O123" s="539"/>
      <c r="P123" s="542"/>
      <c r="Q123" s="540"/>
      <c r="R123" s="540"/>
      <c r="S123" s="540"/>
      <c r="T123" s="260"/>
      <c r="U123" s="260"/>
      <c r="V123" s="260"/>
      <c r="W123" s="260"/>
      <c r="X123" s="260"/>
      <c r="Y123" s="260"/>
      <c r="Z123" s="260"/>
    </row>
    <row r="124" ht="13.5" customHeight="1">
      <c r="A124" s="260"/>
      <c r="B124" s="260"/>
      <c r="C124" s="537" t="s">
        <v>194</v>
      </c>
      <c r="D124" s="500">
        <f t="shared" ref="D124:H124" si="45">D123*D$122</f>
        <v>280.5</v>
      </c>
      <c r="E124" s="500">
        <f t="shared" si="45"/>
        <v>324</v>
      </c>
      <c r="F124" s="500">
        <f t="shared" si="45"/>
        <v>306</v>
      </c>
      <c r="G124" s="500">
        <f t="shared" si="45"/>
        <v>360.6428571</v>
      </c>
      <c r="H124" s="500">
        <f t="shared" si="45"/>
        <v>368.6</v>
      </c>
      <c r="I124" s="582"/>
      <c r="J124" s="582"/>
      <c r="K124" s="582"/>
      <c r="L124" s="582"/>
      <c r="M124" s="582"/>
      <c r="N124" s="500">
        <f t="shared" si="46"/>
        <v>327.9485714</v>
      </c>
      <c r="O124" s="539"/>
      <c r="P124" s="542"/>
      <c r="Q124" s="540"/>
      <c r="R124" s="540"/>
      <c r="S124" s="540"/>
      <c r="T124" s="260"/>
      <c r="U124" s="260"/>
      <c r="V124" s="260"/>
      <c r="W124" s="260"/>
      <c r="X124" s="260"/>
      <c r="Y124" s="260"/>
      <c r="Z124" s="260"/>
    </row>
    <row r="125" ht="13.5" customHeight="1">
      <c r="A125" s="260"/>
      <c r="B125" s="260"/>
      <c r="C125" s="537" t="s">
        <v>195</v>
      </c>
      <c r="D125" s="500">
        <f t="shared" ref="D125:H125" si="47">D124*(1+0.05)</f>
        <v>294.525</v>
      </c>
      <c r="E125" s="500">
        <f t="shared" si="47"/>
        <v>340.2</v>
      </c>
      <c r="F125" s="500">
        <f t="shared" si="47"/>
        <v>321.3</v>
      </c>
      <c r="G125" s="500">
        <f t="shared" si="47"/>
        <v>378.675</v>
      </c>
      <c r="H125" s="500">
        <f t="shared" si="47"/>
        <v>387.03</v>
      </c>
      <c r="I125" s="582"/>
      <c r="J125" s="582"/>
      <c r="K125" s="582"/>
      <c r="L125" s="582"/>
      <c r="M125" s="582"/>
      <c r="N125" s="500">
        <f t="shared" si="46"/>
        <v>344.346</v>
      </c>
      <c r="O125" s="543"/>
      <c r="P125" s="543"/>
      <c r="Q125" s="543"/>
      <c r="R125" s="543"/>
      <c r="S125" s="539"/>
      <c r="T125" s="260"/>
      <c r="U125" s="260"/>
      <c r="V125" s="260"/>
      <c r="W125" s="260"/>
      <c r="X125" s="260"/>
      <c r="Y125" s="260"/>
      <c r="Z125" s="260"/>
    </row>
    <row r="126" ht="13.5" customHeight="1">
      <c r="A126" s="260"/>
      <c r="B126" s="260"/>
      <c r="C126" s="544" t="s">
        <v>196</v>
      </c>
      <c r="D126" s="578">
        <f t="shared" ref="D126:H126" si="48">3600/D125</f>
        <v>12.22307105</v>
      </c>
      <c r="E126" s="578">
        <f t="shared" si="48"/>
        <v>10.58201058</v>
      </c>
      <c r="F126" s="578">
        <f t="shared" si="48"/>
        <v>11.20448179</v>
      </c>
      <c r="G126" s="578">
        <f t="shared" si="48"/>
        <v>9.506833036</v>
      </c>
      <c r="H126" s="578">
        <f t="shared" si="48"/>
        <v>9.301604527</v>
      </c>
      <c r="I126" s="599"/>
      <c r="J126" s="599"/>
      <c r="K126" s="599"/>
      <c r="L126" s="599"/>
      <c r="M126" s="599"/>
      <c r="N126" s="600">
        <f>3600/N125</f>
        <v>10.4546009</v>
      </c>
      <c r="O126" s="547"/>
      <c r="Q126" s="547"/>
      <c r="R126" s="547"/>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3.5"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3.5"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3.5"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3.5"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3.5"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3.5"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3.5"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3.5"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3.5"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3.5"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3.5"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3.5"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3.5"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3.5" customHeight="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row>
    <row r="247" ht="13.5" customHeight="1">
      <c r="A247" s="260"/>
      <c r="B247" s="260"/>
      <c r="C247" s="260"/>
      <c r="D247" s="260"/>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row>
    <row r="248" ht="13.5" customHeight="1">
      <c r="A248" s="260"/>
      <c r="B248" s="260"/>
      <c r="C248" s="260"/>
      <c r="D248" s="260"/>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row>
    <row r="249" ht="13.5" customHeight="1">
      <c r="A249" s="260"/>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row>
    <row r="250" ht="13.5" customHeight="1">
      <c r="A250" s="260"/>
      <c r="B250" s="260"/>
      <c r="C250" s="260"/>
      <c r="D250" s="260"/>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row>
    <row r="251" ht="13.5" customHeight="1">
      <c r="A251" s="260"/>
      <c r="B251" s="260"/>
      <c r="C251" s="260"/>
      <c r="D251" s="260"/>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row>
    <row r="252" ht="13.5" customHeight="1">
      <c r="A252" s="260"/>
      <c r="B252" s="260"/>
      <c r="C252" s="260"/>
      <c r="D252" s="260"/>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row>
    <row r="253" ht="13.5" customHeight="1">
      <c r="A253" s="260"/>
      <c r="B253" s="260"/>
      <c r="C253" s="260"/>
      <c r="D253" s="260"/>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row>
    <row r="254" ht="13.5" customHeight="1">
      <c r="A254" s="260"/>
      <c r="B254" s="260"/>
      <c r="C254" s="260"/>
      <c r="D254" s="260"/>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row>
    <row r="255" ht="13.5" customHeight="1">
      <c r="A255" s="260"/>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row>
    <row r="256" ht="13.5" customHeight="1">
      <c r="A256" s="260"/>
      <c r="B256" s="260"/>
      <c r="C256" s="260"/>
      <c r="D256" s="260"/>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row>
    <row r="257" ht="13.5" customHeight="1">
      <c r="A257" s="260"/>
      <c r="B257" s="260"/>
      <c r="C257" s="260"/>
      <c r="D257" s="260"/>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row>
    <row r="258" ht="13.5" customHeight="1">
      <c r="A258" s="260"/>
      <c r="B258" s="260"/>
      <c r="C258" s="260"/>
      <c r="D258" s="260"/>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row>
    <row r="259" ht="13.5" customHeight="1">
      <c r="A259" s="260"/>
      <c r="B259" s="260"/>
      <c r="C259" s="260"/>
      <c r="D259" s="260"/>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row>
    <row r="260" ht="13.5" customHeight="1">
      <c r="A260" s="260"/>
      <c r="B260" s="260"/>
      <c r="C260" s="260"/>
      <c r="D260" s="260"/>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row>
    <row r="261" ht="13.5" customHeight="1">
      <c r="A261" s="260"/>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row>
    <row r="262" ht="13.5" customHeight="1">
      <c r="A262" s="260"/>
      <c r="B262" s="260"/>
      <c r="C262" s="260"/>
      <c r="D262" s="260"/>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row>
    <row r="263" ht="13.5" customHeight="1">
      <c r="A263" s="260"/>
      <c r="B263" s="260"/>
      <c r="C263" s="260"/>
      <c r="D263" s="260"/>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row>
    <row r="264" ht="13.5" customHeight="1">
      <c r="A264" s="260"/>
      <c r="B264" s="260"/>
      <c r="C264" s="260"/>
      <c r="D264" s="260"/>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row>
    <row r="265" ht="13.5" customHeight="1">
      <c r="A265" s="260"/>
      <c r="B265" s="260"/>
      <c r="C265" s="260"/>
      <c r="D265" s="260"/>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row>
    <row r="266" ht="13.5" customHeight="1">
      <c r="A266" s="260"/>
      <c r="B266" s="260"/>
      <c r="C266" s="260"/>
      <c r="D266" s="260"/>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row>
    <row r="267" ht="13.5" customHeight="1">
      <c r="A267" s="260"/>
      <c r="B267" s="260"/>
      <c r="C267" s="260"/>
      <c r="D267" s="260"/>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row>
    <row r="268" ht="13.5" customHeight="1">
      <c r="A268" s="260"/>
      <c r="B268" s="260"/>
      <c r="C268" s="260"/>
      <c r="D268" s="260"/>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row>
    <row r="269" ht="13.5" customHeight="1">
      <c r="A269" s="260"/>
      <c r="B269" s="260"/>
      <c r="C269" s="260"/>
      <c r="D269" s="260"/>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row>
    <row r="270" ht="13.5" customHeight="1">
      <c r="A270" s="260"/>
      <c r="B270" s="260"/>
      <c r="C270" s="260"/>
      <c r="D270" s="260"/>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row>
    <row r="271" ht="13.5" customHeight="1">
      <c r="A271" s="260"/>
      <c r="B271" s="260"/>
      <c r="C271" s="260"/>
      <c r="D271" s="260"/>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row>
    <row r="272" ht="13.5" customHeight="1">
      <c r="A272" s="260"/>
      <c r="B272" s="260"/>
      <c r="C272" s="260"/>
      <c r="D272" s="260"/>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row>
    <row r="273" ht="13.5" customHeight="1">
      <c r="A273" s="260"/>
      <c r="B273" s="260"/>
      <c r="C273" s="260"/>
      <c r="D273" s="260"/>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row>
    <row r="274" ht="13.5" customHeight="1">
      <c r="A274" s="260"/>
      <c r="B274" s="260"/>
      <c r="C274" s="260"/>
      <c r="D274" s="260"/>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row>
    <row r="275" ht="13.5" customHeight="1">
      <c r="A275" s="260"/>
      <c r="B275" s="260"/>
      <c r="C275" s="260"/>
      <c r="D275" s="260"/>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row>
    <row r="276" ht="13.5" customHeight="1">
      <c r="A276" s="260"/>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row>
    <row r="277" ht="13.5" customHeight="1">
      <c r="A277" s="260"/>
      <c r="B277" s="260"/>
      <c r="C277" s="260"/>
      <c r="D277" s="260"/>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row>
    <row r="278" ht="13.5" customHeight="1">
      <c r="A278" s="260"/>
      <c r="B278" s="260"/>
      <c r="C278" s="260"/>
      <c r="D278" s="260"/>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row>
    <row r="279" ht="13.5" customHeight="1">
      <c r="A279" s="260"/>
      <c r="B279" s="260"/>
      <c r="C279" s="260"/>
      <c r="D279" s="260"/>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row>
    <row r="280" ht="13.5" customHeight="1">
      <c r="A280" s="260"/>
      <c r="B280" s="260"/>
      <c r="C280" s="260"/>
      <c r="D280" s="260"/>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row>
    <row r="281" ht="13.5" customHeight="1">
      <c r="A281" s="260"/>
      <c r="B281" s="260"/>
      <c r="C281" s="260"/>
      <c r="D281" s="260"/>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row>
    <row r="282" ht="13.5" customHeight="1">
      <c r="A282" s="260"/>
      <c r="B282" s="260"/>
      <c r="C282" s="260"/>
      <c r="D282" s="260"/>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row>
    <row r="283" ht="13.5" customHeight="1">
      <c r="A283" s="260"/>
      <c r="B283" s="260"/>
      <c r="C283" s="260"/>
      <c r="D283" s="260"/>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row>
    <row r="284" ht="13.5" customHeight="1">
      <c r="A284" s="260"/>
      <c r="B284" s="260"/>
      <c r="C284" s="260"/>
      <c r="D284" s="260"/>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row>
    <row r="285" ht="13.5" customHeight="1">
      <c r="A285" s="260"/>
      <c r="B285" s="260"/>
      <c r="C285" s="260"/>
      <c r="D285" s="260"/>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row>
    <row r="286" ht="13.5" customHeight="1">
      <c r="A286" s="260"/>
      <c r="B286" s="260"/>
      <c r="C286" s="260"/>
      <c r="D286" s="260"/>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row>
    <row r="287" ht="13.5" customHeight="1">
      <c r="A287" s="260"/>
      <c r="B287" s="260"/>
      <c r="C287" s="260"/>
      <c r="D287" s="260"/>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row>
    <row r="288" ht="13.5" customHeight="1">
      <c r="A288" s="260"/>
      <c r="B288" s="260"/>
      <c r="C288" s="260"/>
      <c r="D288" s="260"/>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row>
    <row r="289" ht="13.5" customHeight="1">
      <c r="A289" s="260"/>
      <c r="B289" s="260"/>
      <c r="C289" s="260"/>
      <c r="D289" s="260"/>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row>
    <row r="290" ht="13.5" customHeight="1">
      <c r="A290" s="260"/>
      <c r="B290" s="260"/>
      <c r="C290" s="260"/>
      <c r="D290" s="260"/>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row>
    <row r="291" ht="13.5" customHeight="1">
      <c r="A291" s="260"/>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row>
    <row r="292" ht="13.5" customHeight="1">
      <c r="A292" s="260"/>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row>
    <row r="293" ht="13.5" customHeight="1">
      <c r="A293" s="260"/>
      <c r="B293" s="260"/>
      <c r="C293" s="260"/>
      <c r="D293" s="260"/>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row>
    <row r="294" ht="13.5" customHeight="1">
      <c r="A294" s="260"/>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row>
    <row r="295" ht="13.5" customHeight="1">
      <c r="A295" s="260"/>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row>
    <row r="296" ht="13.5" customHeight="1">
      <c r="A296" s="260"/>
      <c r="B296" s="260"/>
      <c r="C296" s="260"/>
      <c r="D296" s="260"/>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row>
    <row r="297" ht="13.5" customHeight="1">
      <c r="A297" s="260"/>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row>
    <row r="298" ht="13.5" customHeight="1">
      <c r="A298" s="260"/>
      <c r="B298" s="260"/>
      <c r="C298" s="260"/>
      <c r="D298" s="260"/>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row>
    <row r="299" ht="13.5" customHeight="1">
      <c r="A299" s="260"/>
      <c r="B299" s="260"/>
      <c r="C299" s="260"/>
      <c r="D299" s="260"/>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row>
    <row r="300" ht="13.5" customHeight="1">
      <c r="A300" s="260"/>
      <c r="B300" s="260"/>
      <c r="C300" s="260"/>
      <c r="D300" s="260"/>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row>
    <row r="301" ht="13.5" customHeight="1">
      <c r="A301" s="260"/>
      <c r="B301" s="260"/>
      <c r="C301" s="260"/>
      <c r="D301" s="260"/>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row>
    <row r="302" ht="13.5" customHeight="1">
      <c r="A302" s="260"/>
      <c r="B302" s="260"/>
      <c r="C302" s="260"/>
      <c r="D302" s="260"/>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row>
    <row r="303" ht="13.5" customHeight="1">
      <c r="A303" s="260"/>
      <c r="B303" s="260"/>
      <c r="C303" s="260"/>
      <c r="D303" s="260"/>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row>
    <row r="304" ht="13.5" customHeight="1">
      <c r="A304" s="260"/>
      <c r="B304" s="260"/>
      <c r="C304" s="260"/>
      <c r="D304" s="260"/>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row>
    <row r="305" ht="13.5" customHeight="1">
      <c r="A305" s="260"/>
      <c r="B305" s="260"/>
      <c r="C305" s="260"/>
      <c r="D305" s="260"/>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row>
    <row r="306" ht="13.5" customHeight="1">
      <c r="A306" s="260"/>
      <c r="B306" s="260"/>
      <c r="C306" s="260"/>
      <c r="D306" s="260"/>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row>
    <row r="307" ht="13.5" customHeight="1">
      <c r="A307" s="260"/>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row>
    <row r="308" ht="13.5" customHeight="1">
      <c r="A308" s="260"/>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row>
    <row r="309" ht="13.5" customHeight="1">
      <c r="A309" s="260"/>
      <c r="B309" s="260"/>
      <c r="C309" s="260"/>
      <c r="D309" s="260"/>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row>
    <row r="310" ht="13.5" customHeight="1">
      <c r="A310" s="260"/>
      <c r="B310" s="260"/>
      <c r="C310" s="260"/>
      <c r="D310" s="260"/>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row>
    <row r="311" ht="13.5" customHeight="1">
      <c r="A311" s="260"/>
      <c r="B311" s="260"/>
      <c r="C311" s="260"/>
      <c r="D311" s="260"/>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row>
    <row r="312" ht="13.5" customHeight="1">
      <c r="A312" s="260"/>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row>
    <row r="313" ht="13.5" customHeight="1">
      <c r="A313" s="260"/>
      <c r="B313" s="260"/>
      <c r="C313" s="260"/>
      <c r="D313" s="260"/>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row>
    <row r="314" ht="13.5" customHeight="1">
      <c r="A314" s="260"/>
      <c r="B314" s="260"/>
      <c r="C314" s="260"/>
      <c r="D314" s="260"/>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row>
    <row r="315" ht="13.5" customHeight="1">
      <c r="A315" s="260"/>
      <c r="B315" s="260"/>
      <c r="C315" s="260"/>
      <c r="D315" s="260"/>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row>
    <row r="316" ht="13.5" customHeight="1">
      <c r="A316" s="260"/>
      <c r="B316" s="260"/>
      <c r="C316" s="260"/>
      <c r="D316" s="260"/>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row>
    <row r="317" ht="13.5" customHeight="1">
      <c r="A317" s="260"/>
      <c r="B317" s="260"/>
      <c r="C317" s="260"/>
      <c r="D317" s="260"/>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row>
    <row r="318" ht="13.5" customHeight="1">
      <c r="A318" s="260"/>
      <c r="B318" s="260"/>
      <c r="C318" s="260"/>
      <c r="D318" s="260"/>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row>
    <row r="319" ht="13.5" customHeight="1">
      <c r="A319" s="260"/>
      <c r="B319" s="260"/>
      <c r="C319" s="260"/>
      <c r="D319" s="260"/>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row>
    <row r="320" ht="13.5" customHeight="1">
      <c r="A320" s="260"/>
      <c r="B320" s="260"/>
      <c r="C320" s="260"/>
      <c r="D320" s="260"/>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row>
    <row r="321" ht="13.5" customHeight="1">
      <c r="A321" s="260"/>
      <c r="B321" s="260"/>
      <c r="C321" s="260"/>
      <c r="D321" s="260"/>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row>
    <row r="322" ht="13.5" customHeight="1">
      <c r="A322" s="260"/>
      <c r="B322" s="260"/>
      <c r="C322" s="260"/>
      <c r="D322" s="260"/>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row>
    <row r="323" ht="13.5" customHeight="1">
      <c r="A323" s="260"/>
      <c r="B323" s="260"/>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row>
    <row r="324" ht="13.5" customHeight="1">
      <c r="A324" s="260"/>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row>
    <row r="325" ht="13.5" customHeight="1">
      <c r="A325" s="260"/>
      <c r="B325" s="260"/>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row>
    <row r="326" ht="13.5" customHeight="1">
      <c r="A326" s="260"/>
      <c r="B326" s="260"/>
      <c r="C326" s="260"/>
      <c r="D326" s="260"/>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row>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9">
    <mergeCell ref="B67:D67"/>
    <mergeCell ref="B68:D69"/>
    <mergeCell ref="E68:G69"/>
    <mergeCell ref="H68:J69"/>
    <mergeCell ref="K68:N69"/>
    <mergeCell ref="B71:B72"/>
    <mergeCell ref="C71:C72"/>
    <mergeCell ref="D71:M71"/>
    <mergeCell ref="P71:P72"/>
    <mergeCell ref="Q71:Q72"/>
    <mergeCell ref="R71:R72"/>
    <mergeCell ref="S71:S72"/>
    <mergeCell ref="T71:T72"/>
    <mergeCell ref="P87:S87"/>
    <mergeCell ref="O91:P91"/>
    <mergeCell ref="O92:P92"/>
    <mergeCell ref="B102:N102"/>
    <mergeCell ref="B103:D103"/>
    <mergeCell ref="E103:G103"/>
    <mergeCell ref="H103:J103"/>
    <mergeCell ref="K103:N103"/>
    <mergeCell ref="B104:D105"/>
    <mergeCell ref="E104:G105"/>
    <mergeCell ref="H104:J105"/>
    <mergeCell ref="K104:N105"/>
    <mergeCell ref="B107:B108"/>
    <mergeCell ref="C107:C108"/>
    <mergeCell ref="D107:M107"/>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 ref="H4:J5"/>
    <mergeCell ref="K4:N5"/>
    <mergeCell ref="P22:S22"/>
    <mergeCell ref="O26:P26"/>
    <mergeCell ref="O27:P27"/>
    <mergeCell ref="B37:N37"/>
    <mergeCell ref="B38:D38"/>
    <mergeCell ref="K38:N38"/>
    <mergeCell ref="E38:G38"/>
    <mergeCell ref="H38:J38"/>
    <mergeCell ref="B39:D40"/>
    <mergeCell ref="E39:G40"/>
    <mergeCell ref="H39:J40"/>
    <mergeCell ref="K39:N40"/>
    <mergeCell ref="B42:B43"/>
    <mergeCell ref="C42:C43"/>
    <mergeCell ref="D42:M42"/>
    <mergeCell ref="P42:P43"/>
    <mergeCell ref="Q42:Q43"/>
    <mergeCell ref="R42:R43"/>
    <mergeCell ref="S42:S43"/>
    <mergeCell ref="T42:T43"/>
    <mergeCell ref="P57:S57"/>
    <mergeCell ref="O61:P61"/>
    <mergeCell ref="O62:P62"/>
    <mergeCell ref="B66:N66"/>
    <mergeCell ref="E67:G67"/>
    <mergeCell ref="H67:J67"/>
    <mergeCell ref="K67:N67"/>
    <mergeCell ref="P107:P108"/>
    <mergeCell ref="Q107:Q108"/>
    <mergeCell ref="R107:R108"/>
    <mergeCell ref="S107:S108"/>
    <mergeCell ref="T107:T108"/>
    <mergeCell ref="P122:S122"/>
    <mergeCell ref="O126:P12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4" width="17.71"/>
    <col customWidth="1" min="5" max="6" width="17.29"/>
    <col customWidth="1" min="7" max="7" width="17.0"/>
    <col customWidth="1" min="8" max="8" width="17.86"/>
    <col customWidth="1" min="9" max="9" width="17.14"/>
    <col customWidth="1" min="10" max="10" width="16.0"/>
    <col customWidth="1" min="11" max="11" width="16.86"/>
    <col customWidth="1" min="12" max="12" width="17.71"/>
    <col customWidth="1" min="13" max="13" width="18.0"/>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212</v>
      </c>
      <c r="C4" s="468"/>
      <c r="D4" s="469"/>
      <c r="E4" s="470"/>
      <c r="F4" s="468"/>
      <c r="G4" s="469"/>
      <c r="H4" s="471" t="s">
        <v>332</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03"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494"/>
      <c r="S8" s="495"/>
      <c r="T8" s="496"/>
      <c r="U8" s="260"/>
      <c r="V8" s="260"/>
      <c r="W8" s="260"/>
      <c r="X8" s="260"/>
      <c r="Y8" s="260"/>
      <c r="Z8" s="260"/>
    </row>
    <row r="9" ht="13.5" customHeight="1">
      <c r="A9" s="497"/>
      <c r="B9" s="498">
        <v>1.0</v>
      </c>
      <c r="C9" s="499" t="s">
        <v>333</v>
      </c>
      <c r="D9" s="500" t="str">
        <f>'[11]PICK MONDE (HAT)'!$D$8</f>
        <v>#REF!</v>
      </c>
      <c r="E9" s="500" t="str">
        <f>'[11]PICK MONDE (HAT)'!$E$8</f>
        <v>#REF!</v>
      </c>
      <c r="F9" s="500" t="str">
        <f>'[11]PICK MONDE (HAT)'!$F$8</f>
        <v>#REF!</v>
      </c>
      <c r="G9" s="500" t="str">
        <f>'[11]PICK MONDE (HAT)'!$G$8</f>
        <v>#REF!</v>
      </c>
      <c r="H9" s="500" t="str">
        <f>'[11]PICK MONDE (HAT)'!$H$8</f>
        <v>#REF!</v>
      </c>
      <c r="I9" s="500">
        <v>221.67</v>
      </c>
      <c r="J9" s="500">
        <v>204.85</v>
      </c>
      <c r="K9" s="500">
        <v>461.35</v>
      </c>
      <c r="L9" s="606">
        <v>543.91</v>
      </c>
      <c r="M9" s="606">
        <v>70.48</v>
      </c>
      <c r="N9" s="501" t="str">
        <f t="shared" ref="N9:N10" si="1">SUM(D9:M9)</f>
        <v>#REF!</v>
      </c>
      <c r="O9" s="485"/>
      <c r="P9" s="607" t="str">
        <f t="shared" ref="P9:P10" si="2">AVERAGE(D9:M9)</f>
        <v>#REF!</v>
      </c>
      <c r="Q9" s="608" t="str">
        <f t="shared" ref="Q9:Q10" si="3">MAX(D9:M9)</f>
        <v>#REF!</v>
      </c>
      <c r="R9" s="609" t="str">
        <f t="shared" ref="R9:R10" si="4">P9/$P$11</f>
        <v>#REF!</v>
      </c>
      <c r="S9" s="610" t="s">
        <v>334</v>
      </c>
      <c r="T9" s="611"/>
      <c r="U9" s="497"/>
      <c r="V9" s="497"/>
      <c r="W9" s="497"/>
      <c r="X9" s="497"/>
      <c r="Y9" s="497"/>
      <c r="Z9" s="497"/>
    </row>
    <row r="10" ht="13.5" customHeight="1">
      <c r="A10" s="485"/>
      <c r="B10" s="498">
        <v>2.0</v>
      </c>
      <c r="C10" s="499" t="s">
        <v>335</v>
      </c>
      <c r="D10" s="500" t="str">
        <f>'[11]PICK MONDE (HAT)'!$D$12</f>
        <v>#REF!</v>
      </c>
      <c r="E10" s="500" t="str">
        <f>'[11]PICK MONDE (HAT)'!$E$12</f>
        <v>#REF!</v>
      </c>
      <c r="F10" s="500" t="str">
        <f>'[11]PICK MONDE (HAT)'!$F$12</f>
        <v>#REF!</v>
      </c>
      <c r="G10" s="500" t="str">
        <f>'[11]PICK MONDE (HAT)'!$G$12</f>
        <v>#REF!</v>
      </c>
      <c r="H10" s="500" t="str">
        <f>'[11]PICK MONDE (HAT)'!$H$12</f>
        <v>#REF!</v>
      </c>
      <c r="I10" s="500">
        <v>6.09</v>
      </c>
      <c r="J10" s="500">
        <v>6.38</v>
      </c>
      <c r="K10" s="500">
        <v>11.96</v>
      </c>
      <c r="L10" s="606">
        <v>7.76</v>
      </c>
      <c r="M10" s="606">
        <v>9.88</v>
      </c>
      <c r="N10" s="501" t="str">
        <f t="shared" si="1"/>
        <v>#REF!</v>
      </c>
      <c r="O10" s="485"/>
      <c r="P10" s="607" t="str">
        <f t="shared" si="2"/>
        <v>#REF!</v>
      </c>
      <c r="Q10" s="608" t="str">
        <f t="shared" si="3"/>
        <v>#REF!</v>
      </c>
      <c r="R10" s="612" t="str">
        <f t="shared" si="4"/>
        <v>#REF!</v>
      </c>
      <c r="S10" s="485"/>
      <c r="T10" s="485"/>
      <c r="U10" s="485"/>
      <c r="V10" s="485"/>
      <c r="W10" s="485"/>
      <c r="X10" s="485"/>
      <c r="Y10" s="485"/>
      <c r="Z10" s="485"/>
    </row>
    <row r="11" ht="13.5" customHeight="1">
      <c r="A11" s="260"/>
      <c r="B11" s="507"/>
      <c r="C11" s="508" t="s">
        <v>180</v>
      </c>
      <c r="D11" s="613" t="str">
        <f t="shared" ref="D11:M11" si="5">SUM(D9:D10)</f>
        <v>#REF!</v>
      </c>
      <c r="E11" s="613" t="str">
        <f t="shared" si="5"/>
        <v>#REF!</v>
      </c>
      <c r="F11" s="613" t="str">
        <f t="shared" si="5"/>
        <v>#REF!</v>
      </c>
      <c r="G11" s="613" t="str">
        <f t="shared" si="5"/>
        <v>#REF!</v>
      </c>
      <c r="H11" s="613" t="str">
        <f t="shared" si="5"/>
        <v>#REF!</v>
      </c>
      <c r="I11" s="613">
        <f t="shared" si="5"/>
        <v>227.76</v>
      </c>
      <c r="J11" s="613">
        <f t="shared" si="5"/>
        <v>211.23</v>
      </c>
      <c r="K11" s="613">
        <f t="shared" si="5"/>
        <v>473.31</v>
      </c>
      <c r="L11" s="613">
        <f t="shared" si="5"/>
        <v>551.67</v>
      </c>
      <c r="M11" s="613">
        <f t="shared" si="5"/>
        <v>80.36</v>
      </c>
      <c r="N11" s="510" t="str">
        <f>SUM(D11:H11)</f>
        <v>#REF!</v>
      </c>
      <c r="O11" s="479" t="s">
        <v>10</v>
      </c>
      <c r="P11" s="614" t="str">
        <f t="shared" ref="P11:Q11" si="6">SUM(P9:P10)</f>
        <v>#REF!</v>
      </c>
      <c r="Q11" s="615" t="str">
        <f t="shared" si="6"/>
        <v>#REF!</v>
      </c>
      <c r="R11" s="616"/>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6" t="str">
        <f>N11/60</f>
        <v>#REF!</v>
      </c>
      <c r="O12" s="479"/>
      <c r="P12" s="515"/>
      <c r="Q12" s="515"/>
      <c r="R12" s="479"/>
      <c r="S12" s="260"/>
      <c r="T12" s="260"/>
      <c r="U12" s="260"/>
      <c r="V12" s="260"/>
      <c r="W12" s="260"/>
      <c r="X12" s="260"/>
      <c r="Y12" s="260"/>
      <c r="Z12" s="260"/>
    </row>
    <row r="13" ht="13.5" customHeight="1">
      <c r="A13" s="260"/>
      <c r="B13" s="260"/>
      <c r="C13" s="514"/>
      <c r="D13" s="515"/>
      <c r="E13" s="515"/>
      <c r="F13" s="515"/>
      <c r="G13" s="515"/>
      <c r="H13" s="515"/>
      <c r="I13" s="515"/>
      <c r="J13" s="515"/>
      <c r="K13" s="515"/>
      <c r="L13" s="515"/>
      <c r="M13" s="515"/>
      <c r="N13" s="517" t="s">
        <v>182</v>
      </c>
      <c r="O13" s="479"/>
      <c r="P13" s="515"/>
      <c r="Q13" s="515"/>
      <c r="R13" s="479"/>
      <c r="S13" s="260"/>
      <c r="T13" s="260"/>
      <c r="U13" s="260"/>
      <c r="V13" s="260"/>
      <c r="W13" s="260"/>
      <c r="X13" s="260"/>
      <c r="Y13" s="260"/>
      <c r="Z13" s="260"/>
    </row>
    <row r="14" ht="13.5" customHeight="1">
      <c r="A14" s="260"/>
      <c r="B14" s="260"/>
      <c r="C14" s="518" t="s">
        <v>238</v>
      </c>
      <c r="D14" s="526" t="s">
        <v>336</v>
      </c>
      <c r="E14" s="526" t="s">
        <v>337</v>
      </c>
      <c r="F14" s="526" t="s">
        <v>338</v>
      </c>
      <c r="G14" s="526" t="s">
        <v>339</v>
      </c>
      <c r="H14" s="526" t="s">
        <v>340</v>
      </c>
      <c r="I14" s="526" t="s">
        <v>341</v>
      </c>
      <c r="J14" s="526" t="s">
        <v>342</v>
      </c>
      <c r="K14" s="526" t="s">
        <v>343</v>
      </c>
      <c r="L14" s="531" t="s">
        <v>344</v>
      </c>
      <c r="M14" s="531" t="s">
        <v>345</v>
      </c>
      <c r="N14" s="520"/>
      <c r="O14" s="479"/>
      <c r="P14" s="479"/>
      <c r="Q14" s="521"/>
      <c r="R14" s="260"/>
      <c r="S14" s="260"/>
      <c r="T14" s="260"/>
      <c r="U14" s="260"/>
      <c r="V14" s="260"/>
      <c r="W14" s="260"/>
      <c r="X14" s="260"/>
      <c r="Y14" s="260"/>
      <c r="Z14" s="260"/>
    </row>
    <row r="15" ht="13.5" customHeight="1">
      <c r="A15" s="260"/>
      <c r="B15" s="260"/>
      <c r="C15" s="518" t="s">
        <v>240</v>
      </c>
      <c r="D15" s="522">
        <v>31.0</v>
      </c>
      <c r="E15" s="522">
        <v>7.0</v>
      </c>
      <c r="F15" s="522">
        <v>19.0</v>
      </c>
      <c r="G15" s="522">
        <v>5.0</v>
      </c>
      <c r="H15" s="522">
        <v>4.0</v>
      </c>
      <c r="I15" s="523">
        <v>6.0</v>
      </c>
      <c r="J15" s="523">
        <v>4.0</v>
      </c>
      <c r="K15" s="523">
        <v>9.0</v>
      </c>
      <c r="L15" s="523">
        <v>61.0</v>
      </c>
      <c r="M15" s="523">
        <v>1.0</v>
      </c>
      <c r="N15" s="520"/>
      <c r="O15" s="479"/>
      <c r="P15" s="479"/>
      <c r="Q15" s="521"/>
      <c r="R15" s="260"/>
      <c r="S15" s="260"/>
      <c r="T15" s="260"/>
      <c r="U15" s="260"/>
      <c r="V15" s="260"/>
      <c r="W15" s="260"/>
      <c r="X15" s="260"/>
      <c r="Y15" s="260"/>
      <c r="Z15" s="260"/>
    </row>
    <row r="16" ht="13.5" customHeight="1">
      <c r="A16" s="260"/>
      <c r="B16" s="260"/>
      <c r="C16" s="518" t="s">
        <v>272</v>
      </c>
      <c r="D16" s="522" t="s">
        <v>273</v>
      </c>
      <c r="E16" s="522" t="s">
        <v>274</v>
      </c>
      <c r="F16" s="522" t="s">
        <v>274</v>
      </c>
      <c r="G16" s="522" t="s">
        <v>274</v>
      </c>
      <c r="H16" s="522" t="s">
        <v>274</v>
      </c>
      <c r="I16" s="523" t="s">
        <v>274</v>
      </c>
      <c r="J16" s="523" t="s">
        <v>274</v>
      </c>
      <c r="K16" s="523" t="s">
        <v>274</v>
      </c>
      <c r="L16" s="523" t="s">
        <v>274</v>
      </c>
      <c r="M16" s="523" t="s">
        <v>274</v>
      </c>
      <c r="N16" s="520"/>
      <c r="O16" s="479"/>
      <c r="P16" s="479"/>
      <c r="Q16" s="521"/>
      <c r="R16" s="260"/>
      <c r="S16" s="260"/>
      <c r="T16" s="260"/>
      <c r="U16" s="260"/>
      <c r="V16" s="260"/>
      <c r="W16" s="260"/>
      <c r="X16" s="260"/>
      <c r="Y16" s="260"/>
      <c r="Z16" s="260"/>
    </row>
    <row r="17" ht="13.5" customHeight="1">
      <c r="A17" s="260"/>
      <c r="B17" s="260"/>
      <c r="C17" s="518" t="s">
        <v>187</v>
      </c>
      <c r="D17" s="522" t="s">
        <v>298</v>
      </c>
      <c r="E17" s="522" t="s">
        <v>298</v>
      </c>
      <c r="F17" s="522" t="s">
        <v>298</v>
      </c>
      <c r="G17" s="522" t="s">
        <v>298</v>
      </c>
      <c r="H17" s="522" t="s">
        <v>298</v>
      </c>
      <c r="I17" s="522" t="s">
        <v>298</v>
      </c>
      <c r="J17" s="522" t="s">
        <v>298</v>
      </c>
      <c r="K17" s="522" t="s">
        <v>298</v>
      </c>
      <c r="L17" s="522" t="s">
        <v>298</v>
      </c>
      <c r="M17" s="522" t="s">
        <v>298</v>
      </c>
      <c r="N17" s="520"/>
      <c r="O17" s="479"/>
      <c r="P17" s="479"/>
      <c r="Q17" s="521"/>
      <c r="R17" s="260"/>
      <c r="S17" s="260"/>
      <c r="T17" s="260"/>
      <c r="U17" s="260"/>
      <c r="V17" s="260"/>
      <c r="W17" s="260"/>
      <c r="X17" s="260"/>
      <c r="Y17" s="260"/>
      <c r="Z17" s="260"/>
    </row>
    <row r="18" ht="13.5" customHeight="1">
      <c r="A18" s="260"/>
      <c r="B18" s="260"/>
      <c r="C18" s="518" t="s">
        <v>243</v>
      </c>
      <c r="D18" s="522" t="s">
        <v>346</v>
      </c>
      <c r="E18" s="526" t="s">
        <v>347</v>
      </c>
      <c r="F18" s="522" t="s">
        <v>346</v>
      </c>
      <c r="G18" s="526" t="s">
        <v>348</v>
      </c>
      <c r="H18" s="526" t="s">
        <v>348</v>
      </c>
      <c r="I18" s="526" t="s">
        <v>348</v>
      </c>
      <c r="J18" s="526" t="s">
        <v>348</v>
      </c>
      <c r="K18" s="526" t="s">
        <v>348</v>
      </c>
      <c r="L18" s="522" t="s">
        <v>349</v>
      </c>
      <c r="M18" s="522" t="s">
        <v>349</v>
      </c>
      <c r="N18" s="520"/>
      <c r="O18" s="479"/>
      <c r="P18" s="479"/>
      <c r="Q18" s="521"/>
      <c r="R18" s="260"/>
      <c r="S18" s="260"/>
      <c r="T18" s="260"/>
      <c r="U18" s="260"/>
      <c r="V18" s="260"/>
      <c r="W18" s="260"/>
      <c r="X18" s="260"/>
      <c r="Y18" s="260"/>
      <c r="Z18" s="260"/>
    </row>
    <row r="19" ht="60.0" customHeight="1">
      <c r="A19" s="260"/>
      <c r="B19" s="260"/>
      <c r="C19" s="518" t="s">
        <v>249</v>
      </c>
      <c r="D19" s="526" t="s">
        <v>350</v>
      </c>
      <c r="E19" s="522" t="s">
        <v>351</v>
      </c>
      <c r="F19" s="522"/>
      <c r="G19" s="522" t="s">
        <v>351</v>
      </c>
      <c r="H19" s="522" t="s">
        <v>352</v>
      </c>
      <c r="I19" s="526" t="s">
        <v>353</v>
      </c>
      <c r="J19" s="526" t="s">
        <v>354</v>
      </c>
      <c r="K19" s="526" t="s">
        <v>355</v>
      </c>
      <c r="L19" s="531" t="s">
        <v>356</v>
      </c>
      <c r="M19" s="523"/>
      <c r="N19" s="520"/>
      <c r="O19" s="479"/>
      <c r="P19" s="479"/>
      <c r="Q19" s="521"/>
      <c r="R19" s="260"/>
      <c r="S19" s="260"/>
      <c r="T19" s="260"/>
      <c r="U19" s="260"/>
      <c r="V19" s="260"/>
      <c r="W19" s="260"/>
      <c r="X19" s="260"/>
      <c r="Y19" s="260"/>
      <c r="Z19" s="260"/>
    </row>
    <row r="20" ht="13.5" customHeight="1">
      <c r="A20" s="260"/>
      <c r="B20" s="260"/>
      <c r="C20" s="514"/>
      <c r="D20" s="479"/>
      <c r="E20" s="479"/>
      <c r="F20" s="479"/>
      <c r="G20" s="479"/>
      <c r="H20" s="479"/>
      <c r="I20" s="479"/>
      <c r="J20" s="479"/>
      <c r="K20" s="479"/>
      <c r="L20" s="479"/>
      <c r="M20" s="479"/>
      <c r="N20" s="520"/>
      <c r="O20" s="479"/>
      <c r="P20" s="479"/>
      <c r="Q20" s="521"/>
      <c r="R20" s="260"/>
      <c r="S20" s="260"/>
      <c r="T20" s="260"/>
      <c r="U20" s="260"/>
      <c r="V20" s="260"/>
      <c r="W20" s="260"/>
      <c r="X20" s="260"/>
      <c r="Y20" s="260"/>
      <c r="Z20" s="260"/>
    </row>
    <row r="21" ht="13.5" customHeight="1">
      <c r="A21" s="260"/>
      <c r="B21" s="260"/>
      <c r="C21" s="260"/>
      <c r="D21" s="260"/>
      <c r="E21" s="260"/>
      <c r="F21" s="260"/>
      <c r="G21" s="260"/>
      <c r="H21" s="260"/>
      <c r="I21" s="260"/>
      <c r="J21" s="260"/>
      <c r="K21" s="260"/>
      <c r="L21" s="260"/>
      <c r="M21" s="260"/>
      <c r="N21" s="260"/>
      <c r="O21" s="547"/>
      <c r="Q21" s="547"/>
      <c r="R21" s="547"/>
      <c r="S21" s="260"/>
      <c r="T21" s="260"/>
      <c r="U21" s="260"/>
      <c r="V21" s="260"/>
      <c r="W21" s="260"/>
      <c r="X21" s="260"/>
      <c r="Y21" s="260"/>
      <c r="Z21" s="260"/>
    </row>
    <row r="22" ht="13.5" customHeight="1">
      <c r="A22" s="260"/>
      <c r="B22" s="260"/>
      <c r="C22" s="548" t="s">
        <v>265</v>
      </c>
      <c r="D22" s="532"/>
      <c r="E22" s="532"/>
      <c r="F22" s="532"/>
      <c r="G22" s="532"/>
      <c r="H22" s="532"/>
      <c r="I22" s="532"/>
      <c r="J22" s="532"/>
      <c r="K22" s="532"/>
      <c r="L22" s="532"/>
      <c r="M22" s="532"/>
      <c r="N22" s="534" t="s">
        <v>163</v>
      </c>
      <c r="O22" s="617"/>
      <c r="P22" s="617"/>
      <c r="Q22" s="617"/>
      <c r="R22" s="617"/>
      <c r="S22" s="260"/>
      <c r="T22" s="260"/>
      <c r="U22" s="260"/>
      <c r="V22" s="260"/>
      <c r="W22" s="260"/>
      <c r="X22" s="260"/>
      <c r="Y22" s="260"/>
      <c r="Z22" s="260"/>
    </row>
    <row r="23" ht="13.5" customHeight="1">
      <c r="A23" s="260"/>
      <c r="B23" s="260"/>
      <c r="C23" s="537" t="s">
        <v>192</v>
      </c>
      <c r="D23" s="538">
        <v>1.0</v>
      </c>
      <c r="E23" s="538">
        <v>1.0</v>
      </c>
      <c r="F23" s="538">
        <v>1.0</v>
      </c>
      <c r="G23" s="538">
        <v>1.0</v>
      </c>
      <c r="H23" s="538">
        <v>1.0</v>
      </c>
      <c r="I23" s="538">
        <v>1.0</v>
      </c>
      <c r="J23" s="538">
        <v>1.0</v>
      </c>
      <c r="K23" s="538">
        <v>1.0</v>
      </c>
      <c r="L23" s="538">
        <v>1.0</v>
      </c>
      <c r="M23" s="538">
        <v>1.0</v>
      </c>
      <c r="N23" s="538">
        <f t="shared" ref="N23:N26" si="8">AVERAGE(D23:M23)</f>
        <v>1</v>
      </c>
      <c r="O23" s="260"/>
      <c r="P23" s="260"/>
      <c r="Q23" s="260"/>
      <c r="R23" s="260"/>
      <c r="S23" s="260"/>
      <c r="T23" s="260"/>
      <c r="U23" s="260"/>
      <c r="V23" s="260"/>
      <c r="W23" s="260"/>
      <c r="X23" s="260"/>
      <c r="Y23" s="260"/>
      <c r="Z23" s="260"/>
    </row>
    <row r="24" ht="13.5" customHeight="1">
      <c r="A24" s="260"/>
      <c r="B24" s="260"/>
      <c r="C24" s="537" t="s">
        <v>193</v>
      </c>
      <c r="D24" s="541" t="str">
        <f t="shared" ref="D24:M24" si="7">D11/D15</f>
        <v>#REF!</v>
      </c>
      <c r="E24" s="541" t="str">
        <f t="shared" si="7"/>
        <v>#REF!</v>
      </c>
      <c r="F24" s="541" t="str">
        <f t="shared" si="7"/>
        <v>#REF!</v>
      </c>
      <c r="G24" s="541" t="str">
        <f t="shared" si="7"/>
        <v>#REF!</v>
      </c>
      <c r="H24" s="541" t="str">
        <f t="shared" si="7"/>
        <v>#REF!</v>
      </c>
      <c r="I24" s="541">
        <f t="shared" si="7"/>
        <v>37.96</v>
      </c>
      <c r="J24" s="541">
        <f t="shared" si="7"/>
        <v>52.8075</v>
      </c>
      <c r="K24" s="541">
        <f t="shared" si="7"/>
        <v>52.59</v>
      </c>
      <c r="L24" s="541">
        <f t="shared" si="7"/>
        <v>9.043770492</v>
      </c>
      <c r="M24" s="541">
        <f t="shared" si="7"/>
        <v>80.36</v>
      </c>
      <c r="N24" s="500" t="str">
        <f t="shared" si="8"/>
        <v>#REF!</v>
      </c>
      <c r="O24" s="260"/>
      <c r="P24" s="260"/>
      <c r="Q24" s="260"/>
      <c r="R24" s="260"/>
      <c r="S24" s="260"/>
      <c r="T24" s="260"/>
      <c r="U24" s="260"/>
      <c r="V24" s="260"/>
      <c r="W24" s="260"/>
      <c r="X24" s="260"/>
      <c r="Y24" s="260"/>
      <c r="Z24" s="260"/>
    </row>
    <row r="25" ht="13.5" customHeight="1">
      <c r="A25" s="532"/>
      <c r="B25" s="532"/>
      <c r="C25" s="537" t="s">
        <v>194</v>
      </c>
      <c r="D25" s="500" t="str">
        <f t="shared" ref="D25:M25" si="9">D24*D23</f>
        <v>#REF!</v>
      </c>
      <c r="E25" s="500" t="str">
        <f t="shared" si="9"/>
        <v>#REF!</v>
      </c>
      <c r="F25" s="500" t="str">
        <f t="shared" si="9"/>
        <v>#REF!</v>
      </c>
      <c r="G25" s="500" t="str">
        <f t="shared" si="9"/>
        <v>#REF!</v>
      </c>
      <c r="H25" s="500" t="str">
        <f t="shared" si="9"/>
        <v>#REF!</v>
      </c>
      <c r="I25" s="500">
        <f t="shared" si="9"/>
        <v>37.96</v>
      </c>
      <c r="J25" s="500">
        <f t="shared" si="9"/>
        <v>52.8075</v>
      </c>
      <c r="K25" s="500">
        <f t="shared" si="9"/>
        <v>52.59</v>
      </c>
      <c r="L25" s="500">
        <f t="shared" si="9"/>
        <v>9.043770492</v>
      </c>
      <c r="M25" s="500">
        <f t="shared" si="9"/>
        <v>80.36</v>
      </c>
      <c r="N25" s="500" t="str">
        <f t="shared" si="8"/>
        <v>#REF!</v>
      </c>
      <c r="O25" s="535"/>
      <c r="P25" s="535"/>
      <c r="Q25" s="535"/>
      <c r="R25" s="536"/>
      <c r="S25" s="536"/>
      <c r="T25" s="532"/>
      <c r="U25" s="532"/>
      <c r="V25" s="532"/>
      <c r="W25" s="532"/>
      <c r="X25" s="532"/>
      <c r="Y25" s="532"/>
      <c r="Z25" s="532"/>
    </row>
    <row r="26" ht="13.5" customHeight="1">
      <c r="A26" s="260"/>
      <c r="B26" s="260"/>
      <c r="C26" s="537" t="s">
        <v>195</v>
      </c>
      <c r="D26" s="500" t="str">
        <f t="shared" ref="D26:M26" si="10">D25*(1+0.05)</f>
        <v>#REF!</v>
      </c>
      <c r="E26" s="500" t="str">
        <f t="shared" si="10"/>
        <v>#REF!</v>
      </c>
      <c r="F26" s="500" t="str">
        <f t="shared" si="10"/>
        <v>#REF!</v>
      </c>
      <c r="G26" s="500" t="str">
        <f t="shared" si="10"/>
        <v>#REF!</v>
      </c>
      <c r="H26" s="500" t="str">
        <f t="shared" si="10"/>
        <v>#REF!</v>
      </c>
      <c r="I26" s="500">
        <f t="shared" si="10"/>
        <v>39.858</v>
      </c>
      <c r="J26" s="500">
        <f t="shared" si="10"/>
        <v>55.447875</v>
      </c>
      <c r="K26" s="500">
        <f t="shared" si="10"/>
        <v>55.2195</v>
      </c>
      <c r="L26" s="500">
        <f t="shared" si="10"/>
        <v>9.495959016</v>
      </c>
      <c r="M26" s="500">
        <f t="shared" si="10"/>
        <v>84.378</v>
      </c>
      <c r="N26" s="500" t="str">
        <f t="shared" si="8"/>
        <v>#REF!</v>
      </c>
      <c r="O26" s="539"/>
      <c r="P26" s="540"/>
      <c r="T26" s="260"/>
      <c r="U26" s="260"/>
      <c r="V26" s="260"/>
      <c r="W26" s="260"/>
      <c r="X26" s="260"/>
      <c r="Y26" s="260"/>
      <c r="Z26" s="260"/>
    </row>
    <row r="27" ht="13.5" customHeight="1">
      <c r="A27" s="260"/>
      <c r="B27" s="260"/>
      <c r="C27" s="544" t="s">
        <v>196</v>
      </c>
      <c r="D27" s="618" t="str">
        <f t="shared" ref="D27:M27" si="11">(D26/3600)*100</f>
        <v>#REF!</v>
      </c>
      <c r="E27" s="618" t="str">
        <f t="shared" si="11"/>
        <v>#REF!</v>
      </c>
      <c r="F27" s="618" t="str">
        <f t="shared" si="11"/>
        <v>#REF!</v>
      </c>
      <c r="G27" s="618" t="str">
        <f t="shared" si="11"/>
        <v>#REF!</v>
      </c>
      <c r="H27" s="618" t="str">
        <f t="shared" si="11"/>
        <v>#REF!</v>
      </c>
      <c r="I27" s="618">
        <f t="shared" si="11"/>
        <v>1.107166667</v>
      </c>
      <c r="J27" s="618">
        <f t="shared" si="11"/>
        <v>1.54021875</v>
      </c>
      <c r="K27" s="618">
        <f t="shared" si="11"/>
        <v>1.533875</v>
      </c>
      <c r="L27" s="618">
        <f t="shared" si="11"/>
        <v>0.2637766393</v>
      </c>
      <c r="M27" s="618">
        <f t="shared" si="11"/>
        <v>2.343833333</v>
      </c>
      <c r="N27" s="545" t="str">
        <f>3600/N26</f>
        <v>#REF!</v>
      </c>
      <c r="O27" s="539"/>
      <c r="P27" s="542"/>
      <c r="Q27" s="540"/>
      <c r="R27" s="540"/>
      <c r="S27" s="540"/>
      <c r="T27" s="260"/>
      <c r="U27" s="260"/>
      <c r="V27" s="260"/>
      <c r="W27" s="260"/>
      <c r="X27" s="260"/>
      <c r="Y27" s="260"/>
      <c r="Z27" s="260"/>
    </row>
    <row r="28" ht="13.5" customHeight="1">
      <c r="A28" s="260"/>
      <c r="B28" s="260"/>
      <c r="C28" s="260"/>
      <c r="D28" s="260"/>
      <c r="E28" s="260"/>
      <c r="F28" s="260"/>
      <c r="G28" s="260"/>
      <c r="H28" s="260"/>
      <c r="I28" s="260"/>
      <c r="J28" s="260"/>
      <c r="K28" s="260"/>
      <c r="L28" s="260"/>
      <c r="M28" s="260"/>
      <c r="N28" s="260"/>
      <c r="O28" s="539"/>
      <c r="P28" s="542"/>
      <c r="Q28" s="540"/>
      <c r="R28" s="540"/>
      <c r="S28" s="540"/>
      <c r="T28" s="260"/>
      <c r="U28" s="260"/>
      <c r="V28" s="260"/>
      <c r="W28" s="260"/>
      <c r="X28" s="260"/>
      <c r="Y28" s="260"/>
      <c r="Z28" s="260"/>
    </row>
    <row r="29" ht="13.5" customHeight="1">
      <c r="A29" s="260"/>
      <c r="B29" s="260"/>
      <c r="C29" s="619" t="s">
        <v>357</v>
      </c>
      <c r="D29" s="521">
        <v>0.05</v>
      </c>
      <c r="E29" s="260"/>
      <c r="F29" s="260"/>
      <c r="G29" s="260"/>
      <c r="H29" s="260"/>
      <c r="I29" s="260"/>
      <c r="J29" s="260"/>
      <c r="K29" s="260"/>
      <c r="L29" s="260"/>
      <c r="M29" s="260"/>
      <c r="N29" s="260"/>
      <c r="O29" s="543"/>
      <c r="P29" s="543"/>
      <c r="Q29" s="543"/>
      <c r="R29" s="543"/>
      <c r="S29" s="539"/>
      <c r="T29" s="260"/>
      <c r="U29" s="260"/>
      <c r="V29" s="260"/>
      <c r="W29" s="260"/>
      <c r="X29" s="260"/>
      <c r="Y29" s="260"/>
      <c r="Z29" s="260"/>
    </row>
    <row r="30" ht="13.5" customHeight="1">
      <c r="A30" s="260"/>
      <c r="B30" s="260"/>
      <c r="C30" s="619" t="s">
        <v>358</v>
      </c>
      <c r="D30" s="338" t="s">
        <v>359</v>
      </c>
      <c r="E30" s="260"/>
      <c r="F30" s="260"/>
      <c r="G30" s="260"/>
      <c r="H30" s="260"/>
      <c r="I30" s="260"/>
      <c r="J30" s="260"/>
      <c r="K30" s="260"/>
      <c r="L30" s="260"/>
      <c r="M30" s="260"/>
      <c r="N30" s="260"/>
      <c r="O30" s="547"/>
      <c r="Q30" s="547"/>
      <c r="R30" s="547"/>
      <c r="S30" s="260"/>
      <c r="T30" s="260"/>
      <c r="U30" s="260"/>
      <c r="V30" s="260"/>
      <c r="W30" s="260"/>
      <c r="X30" s="260"/>
      <c r="Y30" s="260"/>
      <c r="Z30" s="260"/>
    </row>
    <row r="31" ht="13.5" customHeight="1">
      <c r="A31" s="260"/>
      <c r="B31" s="260"/>
      <c r="C31" s="260"/>
      <c r="D31" s="260"/>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O21:P21"/>
    <mergeCell ref="P26:S26"/>
    <mergeCell ref="O30:P30"/>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20.29"/>
    <col customWidth="1" min="5" max="5" width="19.71"/>
    <col customWidth="1" min="6" max="6" width="20.14"/>
    <col customWidth="1" min="7" max="7" width="21.57"/>
    <col customWidth="1" min="8" max="8" width="20.14"/>
    <col customWidth="1" min="9" max="9" width="22.57"/>
    <col customWidth="1" min="10" max="10" width="19.86"/>
    <col customWidth="1" min="11" max="11" width="19.29"/>
    <col customWidth="1" min="12" max="12" width="19.0"/>
    <col customWidth="1" min="13" max="13" width="19.86"/>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360</v>
      </c>
      <c r="C4" s="468"/>
      <c r="D4" s="469"/>
      <c r="E4" s="470" t="s">
        <v>158</v>
      </c>
      <c r="F4" s="468"/>
      <c r="G4" s="469"/>
      <c r="H4" s="471" t="s">
        <v>361</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20"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621"/>
      <c r="S8" s="495"/>
      <c r="T8" s="496"/>
      <c r="U8" s="260"/>
      <c r="V8" s="260"/>
      <c r="W8" s="260"/>
      <c r="X8" s="260"/>
      <c r="Y8" s="260"/>
      <c r="Z8" s="260"/>
    </row>
    <row r="9" ht="13.5" customHeight="1">
      <c r="A9" s="497"/>
      <c r="B9" s="498">
        <v>1.0</v>
      </c>
      <c r="C9" s="499" t="s">
        <v>362</v>
      </c>
      <c r="D9" s="606">
        <v>616.25</v>
      </c>
      <c r="E9" s="606">
        <v>1390.24</v>
      </c>
      <c r="F9" s="500">
        <v>733.03</v>
      </c>
      <c r="G9" s="500">
        <v>572.36</v>
      </c>
      <c r="H9" s="500">
        <v>418.57</v>
      </c>
      <c r="I9" s="606">
        <v>500.95</v>
      </c>
      <c r="J9" s="606">
        <v>674.97</v>
      </c>
      <c r="K9" s="606">
        <v>606.17</v>
      </c>
      <c r="L9" s="606">
        <v>1299.14</v>
      </c>
      <c r="M9" s="606">
        <v>884.78</v>
      </c>
      <c r="N9" s="501">
        <f t="shared" ref="N9:N10" si="1">SUM(D9:M9)</f>
        <v>7696.46</v>
      </c>
      <c r="O9" s="485"/>
      <c r="P9" s="607">
        <f t="shared" ref="P9:P10" si="2">AVERAGE(D9:M9)</f>
        <v>769.646</v>
      </c>
      <c r="Q9" s="608">
        <f t="shared" ref="Q9:Q10" si="3">MAX(D9:M9)</f>
        <v>1390.24</v>
      </c>
      <c r="R9" s="622">
        <f t="shared" ref="R9:R10" si="4">P9/$P$11</f>
        <v>0.8975494958</v>
      </c>
      <c r="S9" s="623"/>
      <c r="T9" s="624"/>
      <c r="U9" s="497"/>
      <c r="V9" s="497"/>
      <c r="W9" s="497"/>
      <c r="X9" s="497"/>
      <c r="Y9" s="497"/>
      <c r="Z9" s="497"/>
    </row>
    <row r="10" ht="13.5" customHeight="1">
      <c r="A10" s="485"/>
      <c r="B10" s="498">
        <v>2.0</v>
      </c>
      <c r="C10" s="499" t="s">
        <v>335</v>
      </c>
      <c r="D10" s="606">
        <v>91.63</v>
      </c>
      <c r="E10" s="606">
        <v>143.21</v>
      </c>
      <c r="F10" s="500">
        <v>110.11</v>
      </c>
      <c r="G10" s="500">
        <v>82.57</v>
      </c>
      <c r="H10" s="500">
        <v>99.98</v>
      </c>
      <c r="I10" s="606">
        <v>76.16</v>
      </c>
      <c r="J10" s="606">
        <v>62.26</v>
      </c>
      <c r="K10" s="606">
        <v>104.11</v>
      </c>
      <c r="L10" s="606">
        <v>66.74</v>
      </c>
      <c r="M10" s="606">
        <v>41.74</v>
      </c>
      <c r="N10" s="501">
        <f t="shared" si="1"/>
        <v>878.51</v>
      </c>
      <c r="O10" s="485"/>
      <c r="P10" s="607">
        <f t="shared" si="2"/>
        <v>87.851</v>
      </c>
      <c r="Q10" s="608">
        <f t="shared" si="3"/>
        <v>143.21</v>
      </c>
      <c r="R10" s="625">
        <f t="shared" si="4"/>
        <v>0.1024505042</v>
      </c>
      <c r="S10" s="626"/>
      <c r="T10" s="485"/>
      <c r="U10" s="485"/>
      <c r="V10" s="485"/>
      <c r="W10" s="485"/>
      <c r="X10" s="485"/>
      <c r="Y10" s="485"/>
      <c r="Z10" s="485"/>
    </row>
    <row r="11" ht="13.5" customHeight="1">
      <c r="A11" s="260"/>
      <c r="B11" s="507"/>
      <c r="C11" s="508" t="s">
        <v>180</v>
      </c>
      <c r="D11" s="613">
        <f t="shared" ref="D11:M11" si="5">SUM(D9:D10)</f>
        <v>707.88</v>
      </c>
      <c r="E11" s="613">
        <f t="shared" si="5"/>
        <v>1533.45</v>
      </c>
      <c r="F11" s="613">
        <f t="shared" si="5"/>
        <v>843.14</v>
      </c>
      <c r="G11" s="613">
        <f t="shared" si="5"/>
        <v>654.93</v>
      </c>
      <c r="H11" s="613">
        <f t="shared" si="5"/>
        <v>518.55</v>
      </c>
      <c r="I11" s="613">
        <f t="shared" si="5"/>
        <v>577.11</v>
      </c>
      <c r="J11" s="613">
        <f t="shared" si="5"/>
        <v>737.23</v>
      </c>
      <c r="K11" s="613">
        <f t="shared" si="5"/>
        <v>710.28</v>
      </c>
      <c r="L11" s="613">
        <f t="shared" si="5"/>
        <v>1365.88</v>
      </c>
      <c r="M11" s="613">
        <f t="shared" si="5"/>
        <v>926.52</v>
      </c>
      <c r="N11" s="510">
        <f>SUM(D11:H11)</f>
        <v>4257.95</v>
      </c>
      <c r="O11" s="479" t="s">
        <v>10</v>
      </c>
      <c r="P11" s="614">
        <f t="shared" ref="P11:Q11" si="6">SUM(P9:P10)</f>
        <v>857.497</v>
      </c>
      <c r="Q11" s="615">
        <f t="shared" si="6"/>
        <v>1533.45</v>
      </c>
      <c r="R11" s="616"/>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6">
        <f>N11/60</f>
        <v>70.96583333</v>
      </c>
      <c r="O12" s="479"/>
      <c r="P12" s="515"/>
      <c r="Q12" s="515"/>
      <c r="R12" s="479"/>
      <c r="S12" s="260"/>
      <c r="T12" s="260"/>
      <c r="U12" s="260"/>
      <c r="V12" s="260"/>
      <c r="W12" s="260"/>
      <c r="X12" s="260"/>
      <c r="Y12" s="260"/>
      <c r="Z12" s="260"/>
    </row>
    <row r="13" ht="13.5" customHeight="1">
      <c r="A13" s="260"/>
      <c r="B13" s="260"/>
      <c r="C13" s="514"/>
      <c r="D13" s="515"/>
      <c r="E13" s="515"/>
      <c r="F13" s="515"/>
      <c r="G13" s="515"/>
      <c r="H13" s="515"/>
      <c r="I13" s="515"/>
      <c r="J13" s="515"/>
      <c r="K13" s="515"/>
      <c r="L13" s="515"/>
      <c r="M13" s="515"/>
      <c r="N13" s="517" t="s">
        <v>182</v>
      </c>
      <c r="O13" s="479"/>
      <c r="P13" s="515"/>
      <c r="Q13" s="515"/>
      <c r="R13" s="479"/>
      <c r="S13" s="260"/>
      <c r="T13" s="260"/>
      <c r="U13" s="260"/>
      <c r="V13" s="260"/>
      <c r="W13" s="260"/>
      <c r="X13" s="260"/>
      <c r="Y13" s="260"/>
      <c r="Z13" s="260"/>
    </row>
    <row r="14" ht="7.5" customHeight="1">
      <c r="A14" s="260"/>
      <c r="B14" s="260"/>
      <c r="C14" s="514"/>
      <c r="D14" s="515"/>
      <c r="E14" s="515"/>
      <c r="F14" s="515"/>
      <c r="G14" s="515"/>
      <c r="H14" s="515"/>
      <c r="I14" s="515"/>
      <c r="J14" s="515"/>
      <c r="K14" s="515"/>
      <c r="L14" s="515"/>
      <c r="M14" s="515"/>
      <c r="N14" s="516"/>
      <c r="O14" s="479"/>
      <c r="P14" s="515"/>
      <c r="Q14" s="515"/>
      <c r="R14" s="479"/>
      <c r="S14" s="260"/>
      <c r="T14" s="260"/>
      <c r="U14" s="260"/>
      <c r="V14" s="260"/>
      <c r="W14" s="260"/>
      <c r="X14" s="260"/>
      <c r="Y14" s="260"/>
      <c r="Z14" s="260"/>
    </row>
    <row r="15" ht="13.5" customHeight="1">
      <c r="A15" s="260"/>
      <c r="B15" s="260"/>
      <c r="C15" s="518" t="s">
        <v>238</v>
      </c>
      <c r="D15" s="627" t="s">
        <v>363</v>
      </c>
      <c r="E15" s="526" t="s">
        <v>364</v>
      </c>
      <c r="F15" s="526" t="s">
        <v>365</v>
      </c>
      <c r="G15" s="526" t="s">
        <v>366</v>
      </c>
      <c r="H15" s="526" t="s">
        <v>367</v>
      </c>
      <c r="I15" s="628" t="s">
        <v>368</v>
      </c>
      <c r="J15" s="531" t="s">
        <v>369</v>
      </c>
      <c r="K15" s="531" t="s">
        <v>370</v>
      </c>
      <c r="L15" s="531" t="s">
        <v>371</v>
      </c>
      <c r="M15" s="531" t="s">
        <v>372</v>
      </c>
      <c r="N15" s="520"/>
      <c r="O15" s="479"/>
      <c r="P15" s="479"/>
      <c r="Q15" s="521"/>
      <c r="R15" s="260"/>
      <c r="S15" s="260"/>
      <c r="T15" s="260"/>
      <c r="U15" s="260"/>
      <c r="V15" s="260"/>
      <c r="W15" s="260"/>
      <c r="X15" s="260"/>
      <c r="Y15" s="260"/>
      <c r="Z15" s="260"/>
    </row>
    <row r="16" ht="13.5" customHeight="1">
      <c r="A16" s="260"/>
      <c r="B16" s="260"/>
      <c r="C16" s="518" t="s">
        <v>240</v>
      </c>
      <c r="D16" s="523">
        <v>17.0</v>
      </c>
      <c r="E16" s="523">
        <v>7.0</v>
      </c>
      <c r="F16" s="522">
        <v>6.0</v>
      </c>
      <c r="G16" s="522">
        <v>16.0</v>
      </c>
      <c r="H16" s="522">
        <v>8.0</v>
      </c>
      <c r="I16" s="523">
        <v>10.0</v>
      </c>
      <c r="J16" s="523">
        <v>9.0</v>
      </c>
      <c r="K16" s="523">
        <v>18.0</v>
      </c>
      <c r="L16" s="523">
        <v>11.0</v>
      </c>
      <c r="M16" s="523">
        <v>16.0</v>
      </c>
      <c r="N16" s="520"/>
      <c r="O16" s="479"/>
      <c r="P16" s="479"/>
      <c r="Q16" s="521"/>
      <c r="R16" s="260"/>
      <c r="S16" s="260"/>
      <c r="T16" s="260"/>
      <c r="U16" s="260"/>
      <c r="V16" s="260"/>
      <c r="W16" s="260"/>
      <c r="X16" s="260"/>
      <c r="Y16" s="260"/>
      <c r="Z16" s="260"/>
    </row>
    <row r="17" ht="13.5" customHeight="1">
      <c r="A17" s="260"/>
      <c r="B17" s="260"/>
      <c r="C17" s="518" t="s">
        <v>272</v>
      </c>
      <c r="D17" s="523" t="s">
        <v>373</v>
      </c>
      <c r="E17" s="523" t="s">
        <v>373</v>
      </c>
      <c r="F17" s="523" t="s">
        <v>373</v>
      </c>
      <c r="G17" s="523" t="s">
        <v>373</v>
      </c>
      <c r="H17" s="523" t="s">
        <v>373</v>
      </c>
      <c r="I17" s="523" t="s">
        <v>373</v>
      </c>
      <c r="J17" s="523" t="s">
        <v>373</v>
      </c>
      <c r="K17" s="523" t="s">
        <v>373</v>
      </c>
      <c r="L17" s="523" t="s">
        <v>373</v>
      </c>
      <c r="M17" s="523" t="s">
        <v>373</v>
      </c>
      <c r="N17" s="520"/>
      <c r="O17" s="479"/>
      <c r="P17" s="479"/>
      <c r="Q17" s="521"/>
      <c r="R17" s="260"/>
      <c r="S17" s="260"/>
      <c r="T17" s="260"/>
      <c r="U17" s="260"/>
      <c r="V17" s="260"/>
      <c r="W17" s="260"/>
      <c r="X17" s="260"/>
      <c r="Y17" s="260"/>
      <c r="Z17" s="260"/>
    </row>
    <row r="18" ht="13.5" customHeight="1">
      <c r="A18" s="260"/>
      <c r="B18" s="260"/>
      <c r="C18" s="518" t="s">
        <v>187</v>
      </c>
      <c r="D18" s="523" t="s">
        <v>299</v>
      </c>
      <c r="E18" s="523" t="s">
        <v>299</v>
      </c>
      <c r="F18" s="523" t="s">
        <v>299</v>
      </c>
      <c r="G18" s="523" t="s">
        <v>299</v>
      </c>
      <c r="H18" s="523" t="s">
        <v>299</v>
      </c>
      <c r="I18" s="523" t="s">
        <v>299</v>
      </c>
      <c r="J18" s="523" t="s">
        <v>299</v>
      </c>
      <c r="K18" s="523" t="s">
        <v>299</v>
      </c>
      <c r="L18" s="523" t="s">
        <v>299</v>
      </c>
      <c r="M18" s="523" t="s">
        <v>299</v>
      </c>
      <c r="N18" s="520"/>
      <c r="O18" s="479"/>
      <c r="P18" s="479"/>
      <c r="Q18" s="521"/>
      <c r="R18" s="260"/>
      <c r="S18" s="260"/>
      <c r="T18" s="260"/>
      <c r="U18" s="260"/>
      <c r="V18" s="260"/>
      <c r="W18" s="260"/>
      <c r="X18" s="260"/>
      <c r="Y18" s="260"/>
      <c r="Z18" s="260"/>
    </row>
    <row r="19" ht="13.5" customHeight="1">
      <c r="A19" s="260"/>
      <c r="B19" s="260"/>
      <c r="C19" s="518" t="s">
        <v>374</v>
      </c>
      <c r="D19" s="523">
        <v>7.0</v>
      </c>
      <c r="E19" s="523">
        <v>7.0</v>
      </c>
      <c r="F19" s="522">
        <v>3.0</v>
      </c>
      <c r="G19" s="522">
        <v>7.0</v>
      </c>
      <c r="H19" s="522">
        <v>8.0</v>
      </c>
      <c r="I19" s="523">
        <v>4.0</v>
      </c>
      <c r="J19" s="523">
        <v>6.0</v>
      </c>
      <c r="K19" s="523">
        <v>8.0</v>
      </c>
      <c r="L19" s="523">
        <v>6.0</v>
      </c>
      <c r="M19" s="523">
        <v>7.0</v>
      </c>
      <c r="N19" s="520"/>
      <c r="O19" s="479"/>
      <c r="P19" s="479"/>
      <c r="Q19" s="521"/>
      <c r="R19" s="260"/>
      <c r="S19" s="260"/>
      <c r="T19" s="260"/>
      <c r="U19" s="260"/>
      <c r="V19" s="260"/>
      <c r="W19" s="260"/>
      <c r="X19" s="260"/>
      <c r="Y19" s="260"/>
      <c r="Z19" s="260"/>
    </row>
    <row r="20" ht="13.5" customHeight="1">
      <c r="A20" s="260"/>
      <c r="B20" s="260"/>
      <c r="C20" s="518" t="s">
        <v>243</v>
      </c>
      <c r="D20" s="523" t="s">
        <v>375</v>
      </c>
      <c r="E20" s="523" t="s">
        <v>375</v>
      </c>
      <c r="F20" s="523" t="s">
        <v>375</v>
      </c>
      <c r="G20" s="523" t="s">
        <v>375</v>
      </c>
      <c r="H20" s="523" t="s">
        <v>375</v>
      </c>
      <c r="I20" s="523" t="s">
        <v>375</v>
      </c>
      <c r="J20" s="523" t="s">
        <v>375</v>
      </c>
      <c r="K20" s="523" t="s">
        <v>375</v>
      </c>
      <c r="L20" s="523" t="s">
        <v>375</v>
      </c>
      <c r="M20" s="523" t="s">
        <v>375</v>
      </c>
      <c r="N20" s="520"/>
      <c r="O20" s="479"/>
      <c r="P20" s="479"/>
      <c r="Q20" s="521"/>
      <c r="R20" s="260"/>
      <c r="S20" s="260"/>
      <c r="T20" s="260"/>
      <c r="U20" s="260"/>
      <c r="V20" s="260"/>
      <c r="W20" s="260"/>
      <c r="X20" s="260"/>
      <c r="Y20" s="260"/>
      <c r="Z20" s="260"/>
    </row>
    <row r="21" ht="13.5" customHeight="1">
      <c r="A21" s="260"/>
      <c r="B21" s="260"/>
      <c r="C21" s="518" t="s">
        <v>249</v>
      </c>
      <c r="D21" s="531" t="s">
        <v>376</v>
      </c>
      <c r="E21" s="531" t="s">
        <v>377</v>
      </c>
      <c r="F21" s="531" t="s">
        <v>378</v>
      </c>
      <c r="G21" s="526" t="s">
        <v>379</v>
      </c>
      <c r="H21" s="526" t="s">
        <v>379</v>
      </c>
      <c r="I21" s="531"/>
      <c r="J21" s="531" t="s">
        <v>351</v>
      </c>
      <c r="K21" s="531" t="s">
        <v>380</v>
      </c>
      <c r="L21" s="523" t="s">
        <v>381</v>
      </c>
      <c r="M21" s="523"/>
      <c r="N21" s="520"/>
      <c r="O21" s="479"/>
      <c r="P21" s="479"/>
      <c r="Q21" s="521"/>
      <c r="R21" s="260"/>
      <c r="S21" s="260"/>
      <c r="T21" s="260"/>
      <c r="U21" s="260"/>
      <c r="V21" s="260"/>
      <c r="W21" s="260"/>
      <c r="X21" s="260"/>
      <c r="Y21" s="260"/>
      <c r="Z21" s="260"/>
    </row>
    <row r="22" ht="13.5" customHeight="1">
      <c r="A22" s="260"/>
      <c r="B22" s="260"/>
      <c r="C22" s="514"/>
      <c r="D22" s="479"/>
      <c r="E22" s="479"/>
      <c r="F22" s="479"/>
      <c r="G22" s="479"/>
      <c r="H22" s="479"/>
      <c r="I22" s="479"/>
      <c r="J22" s="479"/>
      <c r="K22" s="479"/>
      <c r="L22" s="479"/>
      <c r="M22" s="479"/>
      <c r="N22" s="520"/>
      <c r="O22" s="479"/>
      <c r="P22" s="479"/>
      <c r="Q22" s="521"/>
      <c r="R22" s="260"/>
      <c r="S22" s="260"/>
      <c r="T22" s="260"/>
      <c r="U22" s="260"/>
      <c r="V22" s="260"/>
      <c r="W22" s="260"/>
      <c r="X22" s="260"/>
      <c r="Y22" s="260"/>
      <c r="Z22" s="260"/>
    </row>
    <row r="23" ht="13.5" customHeight="1">
      <c r="A23" s="532"/>
      <c r="B23" s="532"/>
      <c r="C23" s="548" t="s">
        <v>286</v>
      </c>
      <c r="D23" s="532"/>
      <c r="E23" s="532"/>
      <c r="F23" s="532"/>
      <c r="G23" s="532"/>
      <c r="H23" s="532"/>
      <c r="I23" s="532"/>
      <c r="J23" s="532"/>
      <c r="K23" s="532"/>
      <c r="L23" s="532"/>
      <c r="M23" s="532"/>
      <c r="N23" s="534" t="s">
        <v>163</v>
      </c>
      <c r="O23" s="535"/>
      <c r="P23" s="535"/>
      <c r="Q23" s="535"/>
      <c r="R23" s="536"/>
      <c r="S23" s="536"/>
      <c r="T23" s="532"/>
      <c r="U23" s="532"/>
      <c r="V23" s="532"/>
      <c r="W23" s="532"/>
      <c r="X23" s="532"/>
      <c r="Y23" s="532"/>
      <c r="Z23" s="532"/>
    </row>
    <row r="24" ht="13.5" customHeight="1">
      <c r="A24" s="260"/>
      <c r="B24" s="260"/>
      <c r="C24" s="537" t="s">
        <v>192</v>
      </c>
      <c r="D24" s="538">
        <v>1.0</v>
      </c>
      <c r="E24" s="538">
        <v>1.0</v>
      </c>
      <c r="F24" s="538">
        <v>1.0</v>
      </c>
      <c r="G24" s="538">
        <v>1.0</v>
      </c>
      <c r="H24" s="538">
        <v>1.0</v>
      </c>
      <c r="I24" s="538">
        <v>1.0</v>
      </c>
      <c r="J24" s="538">
        <v>1.0</v>
      </c>
      <c r="K24" s="538">
        <v>1.0</v>
      </c>
      <c r="L24" s="538">
        <v>1.0</v>
      </c>
      <c r="M24" s="538">
        <v>1.0</v>
      </c>
      <c r="N24" s="538">
        <f t="shared" ref="N24:N27" si="8">AVERAGE(D24:M24)</f>
        <v>1</v>
      </c>
      <c r="O24" s="539"/>
      <c r="P24" s="540"/>
      <c r="T24" s="260"/>
      <c r="U24" s="260"/>
      <c r="V24" s="260"/>
      <c r="W24" s="260"/>
      <c r="X24" s="260"/>
      <c r="Y24" s="260"/>
      <c r="Z24" s="260"/>
    </row>
    <row r="25" ht="13.5" customHeight="1">
      <c r="A25" s="260"/>
      <c r="B25" s="260"/>
      <c r="C25" s="537" t="s">
        <v>193</v>
      </c>
      <c r="D25" s="541">
        <f t="shared" ref="D25:M25" si="7">D11/D19</f>
        <v>101.1257143</v>
      </c>
      <c r="E25" s="541">
        <f t="shared" si="7"/>
        <v>219.0642857</v>
      </c>
      <c r="F25" s="541">
        <f t="shared" si="7"/>
        <v>281.0466667</v>
      </c>
      <c r="G25" s="541">
        <f t="shared" si="7"/>
        <v>93.56142857</v>
      </c>
      <c r="H25" s="541">
        <f t="shared" si="7"/>
        <v>64.81875</v>
      </c>
      <c r="I25" s="541">
        <f t="shared" si="7"/>
        <v>144.2775</v>
      </c>
      <c r="J25" s="541">
        <f t="shared" si="7"/>
        <v>122.8716667</v>
      </c>
      <c r="K25" s="541">
        <f t="shared" si="7"/>
        <v>88.785</v>
      </c>
      <c r="L25" s="541">
        <f t="shared" si="7"/>
        <v>227.6466667</v>
      </c>
      <c r="M25" s="541">
        <f t="shared" si="7"/>
        <v>132.36</v>
      </c>
      <c r="N25" s="500">
        <f t="shared" si="8"/>
        <v>147.5557679</v>
      </c>
      <c r="O25" s="539"/>
      <c r="P25" s="542"/>
      <c r="Q25" s="540"/>
      <c r="R25" s="540"/>
      <c r="S25" s="540"/>
      <c r="T25" s="260"/>
      <c r="U25" s="260"/>
      <c r="V25" s="260"/>
      <c r="W25" s="260"/>
      <c r="X25" s="260"/>
      <c r="Y25" s="260"/>
      <c r="Z25" s="260"/>
    </row>
    <row r="26" ht="13.5" customHeight="1">
      <c r="A26" s="260"/>
      <c r="B26" s="260"/>
      <c r="C26" s="537" t="s">
        <v>194</v>
      </c>
      <c r="D26" s="500">
        <f t="shared" ref="D26:M26" si="9">D25*D24</f>
        <v>101.1257143</v>
      </c>
      <c r="E26" s="500">
        <f t="shared" si="9"/>
        <v>219.0642857</v>
      </c>
      <c r="F26" s="500">
        <f t="shared" si="9"/>
        <v>281.0466667</v>
      </c>
      <c r="G26" s="500">
        <f t="shared" si="9"/>
        <v>93.56142857</v>
      </c>
      <c r="H26" s="500">
        <f t="shared" si="9"/>
        <v>64.81875</v>
      </c>
      <c r="I26" s="500">
        <f t="shared" si="9"/>
        <v>144.2775</v>
      </c>
      <c r="J26" s="500">
        <f t="shared" si="9"/>
        <v>122.8716667</v>
      </c>
      <c r="K26" s="500">
        <f t="shared" si="9"/>
        <v>88.785</v>
      </c>
      <c r="L26" s="500">
        <f t="shared" si="9"/>
        <v>227.6466667</v>
      </c>
      <c r="M26" s="500">
        <f t="shared" si="9"/>
        <v>132.36</v>
      </c>
      <c r="N26" s="500">
        <f t="shared" si="8"/>
        <v>147.5557679</v>
      </c>
      <c r="O26" s="539"/>
      <c r="P26" s="542"/>
      <c r="Q26" s="540"/>
      <c r="R26" s="540"/>
      <c r="S26" s="540"/>
      <c r="T26" s="260"/>
      <c r="U26" s="260"/>
      <c r="V26" s="260"/>
      <c r="W26" s="260"/>
      <c r="X26" s="260"/>
      <c r="Y26" s="260"/>
      <c r="Z26" s="260"/>
    </row>
    <row r="27" ht="13.5" customHeight="1">
      <c r="A27" s="260"/>
      <c r="B27" s="260"/>
      <c r="C27" s="537" t="s">
        <v>195</v>
      </c>
      <c r="D27" s="500">
        <f t="shared" ref="D27:M27" si="10">D26*(1+0.05)</f>
        <v>106.182</v>
      </c>
      <c r="E27" s="500">
        <f t="shared" si="10"/>
        <v>230.0175</v>
      </c>
      <c r="F27" s="500">
        <f t="shared" si="10"/>
        <v>295.099</v>
      </c>
      <c r="G27" s="500">
        <f t="shared" si="10"/>
        <v>98.2395</v>
      </c>
      <c r="H27" s="500">
        <f t="shared" si="10"/>
        <v>68.0596875</v>
      </c>
      <c r="I27" s="500">
        <f t="shared" si="10"/>
        <v>151.491375</v>
      </c>
      <c r="J27" s="500">
        <f t="shared" si="10"/>
        <v>129.01525</v>
      </c>
      <c r="K27" s="500">
        <f t="shared" si="10"/>
        <v>93.22425</v>
      </c>
      <c r="L27" s="500">
        <f t="shared" si="10"/>
        <v>239.029</v>
      </c>
      <c r="M27" s="500">
        <f t="shared" si="10"/>
        <v>138.978</v>
      </c>
      <c r="N27" s="500">
        <f t="shared" si="8"/>
        <v>154.9335563</v>
      </c>
      <c r="O27" s="543"/>
      <c r="P27" s="543"/>
      <c r="Q27" s="543"/>
      <c r="R27" s="543"/>
      <c r="S27" s="539"/>
      <c r="T27" s="260"/>
      <c r="U27" s="260"/>
      <c r="V27" s="260"/>
      <c r="W27" s="260"/>
      <c r="X27" s="260"/>
      <c r="Y27" s="260"/>
      <c r="Z27" s="260"/>
    </row>
    <row r="28" ht="13.5" customHeight="1">
      <c r="A28" s="260"/>
      <c r="B28" s="260"/>
      <c r="C28" s="544" t="s">
        <v>196</v>
      </c>
      <c r="D28" s="618">
        <f t="shared" ref="D28:M28" si="11">(D27/3600)*100</f>
        <v>2.9495</v>
      </c>
      <c r="E28" s="618">
        <f t="shared" si="11"/>
        <v>6.389375</v>
      </c>
      <c r="F28" s="618">
        <f t="shared" si="11"/>
        <v>8.197194444</v>
      </c>
      <c r="G28" s="618">
        <f t="shared" si="11"/>
        <v>2.728875</v>
      </c>
      <c r="H28" s="618">
        <f t="shared" si="11"/>
        <v>1.890546875</v>
      </c>
      <c r="I28" s="618">
        <f t="shared" si="11"/>
        <v>4.20809375</v>
      </c>
      <c r="J28" s="618">
        <f t="shared" si="11"/>
        <v>3.583756944</v>
      </c>
      <c r="K28" s="618">
        <f t="shared" si="11"/>
        <v>2.5895625</v>
      </c>
      <c r="L28" s="618">
        <f t="shared" si="11"/>
        <v>6.639694444</v>
      </c>
      <c r="M28" s="618">
        <f t="shared" si="11"/>
        <v>3.8605</v>
      </c>
      <c r="N28" s="545">
        <f>3600/N27</f>
        <v>23.23576691</v>
      </c>
      <c r="O28" s="547"/>
      <c r="Q28" s="547"/>
      <c r="R28" s="547"/>
      <c r="S28" s="260"/>
      <c r="T28" s="260"/>
      <c r="U28" s="260"/>
      <c r="V28" s="260"/>
      <c r="W28" s="260"/>
      <c r="X28" s="260"/>
      <c r="Y28" s="260"/>
      <c r="Z28" s="260"/>
    </row>
    <row r="29" ht="13.5" customHeight="1">
      <c r="A29" s="260"/>
      <c r="B29" s="260"/>
      <c r="C29" s="260"/>
      <c r="D29" s="260"/>
      <c r="E29" s="260"/>
      <c r="F29" s="260"/>
      <c r="G29" s="260"/>
      <c r="H29" s="260"/>
      <c r="I29" s="260"/>
      <c r="J29" s="260"/>
      <c r="K29" s="260"/>
      <c r="L29" s="260"/>
      <c r="M29" s="260"/>
      <c r="N29" s="260"/>
      <c r="O29" s="547"/>
      <c r="Q29" s="547"/>
      <c r="R29" s="547"/>
      <c r="S29" s="260"/>
      <c r="T29" s="260"/>
      <c r="U29" s="260"/>
      <c r="V29" s="260"/>
      <c r="W29" s="260"/>
      <c r="X29" s="260"/>
      <c r="Y29" s="260"/>
      <c r="Z29" s="260"/>
    </row>
    <row r="30" ht="13.5" customHeight="1">
      <c r="A30" s="260"/>
      <c r="B30" s="260"/>
      <c r="C30" s="619" t="s">
        <v>357</v>
      </c>
      <c r="D30" s="521">
        <v>0.05</v>
      </c>
      <c r="E30" s="260"/>
      <c r="F30" s="260"/>
      <c r="G30" s="260"/>
      <c r="H30" s="260"/>
      <c r="I30" s="260"/>
      <c r="J30" s="260"/>
      <c r="K30" s="260"/>
      <c r="L30" s="260"/>
      <c r="M30" s="260"/>
      <c r="N30" s="260"/>
      <c r="O30" s="617"/>
      <c r="P30" s="617"/>
      <c r="Q30" s="617"/>
      <c r="R30" s="617"/>
      <c r="S30" s="260"/>
      <c r="T30" s="260"/>
      <c r="U30" s="260"/>
      <c r="V30" s="260"/>
      <c r="W30" s="260"/>
      <c r="X30" s="260"/>
      <c r="Y30" s="260"/>
      <c r="Z30" s="260"/>
    </row>
    <row r="31" ht="13.5" customHeight="1">
      <c r="A31" s="260"/>
      <c r="B31" s="260"/>
      <c r="C31" s="619" t="s">
        <v>358</v>
      </c>
      <c r="D31" s="338" t="s">
        <v>359</v>
      </c>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338"/>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532"/>
      <c r="B33" s="532"/>
      <c r="C33" s="548" t="s">
        <v>265</v>
      </c>
      <c r="D33" s="532"/>
      <c r="E33" s="532"/>
      <c r="F33" s="532"/>
      <c r="G33" s="532"/>
      <c r="H33" s="532"/>
      <c r="I33" s="532"/>
      <c r="J33" s="532"/>
      <c r="K33" s="532"/>
      <c r="L33" s="532"/>
      <c r="M33" s="532"/>
      <c r="N33" s="534" t="s">
        <v>163</v>
      </c>
      <c r="O33" s="535"/>
      <c r="P33" s="535"/>
      <c r="Q33" s="535"/>
      <c r="R33" s="536"/>
      <c r="S33" s="536"/>
      <c r="T33" s="532"/>
      <c r="U33" s="532"/>
      <c r="V33" s="532"/>
      <c r="W33" s="532"/>
      <c r="X33" s="532"/>
      <c r="Y33" s="532"/>
      <c r="Z33" s="532"/>
    </row>
    <row r="34" ht="13.5" customHeight="1">
      <c r="A34" s="260"/>
      <c r="B34" s="260"/>
      <c r="C34" s="537" t="s">
        <v>192</v>
      </c>
      <c r="D34" s="538">
        <v>1.0</v>
      </c>
      <c r="E34" s="538">
        <v>1.0</v>
      </c>
      <c r="F34" s="538">
        <v>1.0</v>
      </c>
      <c r="G34" s="538">
        <v>1.0</v>
      </c>
      <c r="H34" s="538">
        <v>1.0</v>
      </c>
      <c r="I34" s="538">
        <v>1.0</v>
      </c>
      <c r="J34" s="538">
        <v>1.0</v>
      </c>
      <c r="K34" s="538">
        <v>1.0</v>
      </c>
      <c r="L34" s="538">
        <v>1.0</v>
      </c>
      <c r="M34" s="538">
        <v>1.0</v>
      </c>
      <c r="N34" s="538">
        <f t="shared" ref="N34:N37" si="13">AVERAGE(D34:M34)</f>
        <v>1</v>
      </c>
      <c r="O34" s="539"/>
      <c r="P34" s="540"/>
      <c r="T34" s="260"/>
      <c r="U34" s="260"/>
      <c r="V34" s="260"/>
      <c r="W34" s="260"/>
      <c r="X34" s="260"/>
      <c r="Y34" s="260"/>
      <c r="Z34" s="260"/>
    </row>
    <row r="35" ht="13.5" customHeight="1">
      <c r="A35" s="260"/>
      <c r="B35" s="260"/>
      <c r="C35" s="537" t="s">
        <v>193</v>
      </c>
      <c r="D35" s="541">
        <f t="shared" ref="D35:M35" si="12">D11/D16</f>
        <v>41.64</v>
      </c>
      <c r="E35" s="541">
        <f t="shared" si="12"/>
        <v>219.0642857</v>
      </c>
      <c r="F35" s="541">
        <f t="shared" si="12"/>
        <v>140.5233333</v>
      </c>
      <c r="G35" s="541">
        <f t="shared" si="12"/>
        <v>40.933125</v>
      </c>
      <c r="H35" s="541">
        <f t="shared" si="12"/>
        <v>64.81875</v>
      </c>
      <c r="I35" s="541">
        <f t="shared" si="12"/>
        <v>57.711</v>
      </c>
      <c r="J35" s="541">
        <f t="shared" si="12"/>
        <v>81.91444444</v>
      </c>
      <c r="K35" s="541">
        <f t="shared" si="12"/>
        <v>39.46</v>
      </c>
      <c r="L35" s="541">
        <f t="shared" si="12"/>
        <v>124.1709091</v>
      </c>
      <c r="M35" s="541">
        <f t="shared" si="12"/>
        <v>57.9075</v>
      </c>
      <c r="N35" s="500">
        <f t="shared" si="13"/>
        <v>86.81433476</v>
      </c>
      <c r="O35" s="539"/>
      <c r="P35" s="542"/>
      <c r="Q35" s="540"/>
      <c r="R35" s="540"/>
      <c r="S35" s="540"/>
      <c r="T35" s="260"/>
      <c r="U35" s="260"/>
      <c r="V35" s="260"/>
      <c r="W35" s="260"/>
      <c r="X35" s="260"/>
      <c r="Y35" s="260"/>
      <c r="Z35" s="260"/>
    </row>
    <row r="36" ht="13.5" customHeight="1">
      <c r="A36" s="260"/>
      <c r="B36" s="260"/>
      <c r="C36" s="537" t="s">
        <v>194</v>
      </c>
      <c r="D36" s="500">
        <f t="shared" ref="D36:M36" si="14">D35*D34</f>
        <v>41.64</v>
      </c>
      <c r="E36" s="500">
        <f t="shared" si="14"/>
        <v>219.0642857</v>
      </c>
      <c r="F36" s="500">
        <f t="shared" si="14"/>
        <v>140.5233333</v>
      </c>
      <c r="G36" s="500">
        <f t="shared" si="14"/>
        <v>40.933125</v>
      </c>
      <c r="H36" s="500">
        <f t="shared" si="14"/>
        <v>64.81875</v>
      </c>
      <c r="I36" s="500">
        <f t="shared" si="14"/>
        <v>57.711</v>
      </c>
      <c r="J36" s="500">
        <f t="shared" si="14"/>
        <v>81.91444444</v>
      </c>
      <c r="K36" s="500">
        <f t="shared" si="14"/>
        <v>39.46</v>
      </c>
      <c r="L36" s="500">
        <f t="shared" si="14"/>
        <v>124.1709091</v>
      </c>
      <c r="M36" s="500">
        <f t="shared" si="14"/>
        <v>57.9075</v>
      </c>
      <c r="N36" s="500">
        <f t="shared" si="13"/>
        <v>86.81433476</v>
      </c>
      <c r="O36" s="539"/>
      <c r="P36" s="542"/>
      <c r="Q36" s="540"/>
      <c r="R36" s="540"/>
      <c r="S36" s="540"/>
      <c r="T36" s="260"/>
      <c r="U36" s="260"/>
      <c r="V36" s="260"/>
      <c r="W36" s="260"/>
      <c r="X36" s="260"/>
      <c r="Y36" s="260"/>
      <c r="Z36" s="260"/>
    </row>
    <row r="37" ht="13.5" customHeight="1">
      <c r="A37" s="260"/>
      <c r="B37" s="260"/>
      <c r="C37" s="537" t="s">
        <v>195</v>
      </c>
      <c r="D37" s="500">
        <f t="shared" ref="D37:M37" si="15">D36*(1+0.05)</f>
        <v>43.722</v>
      </c>
      <c r="E37" s="500">
        <f t="shared" si="15"/>
        <v>230.0175</v>
      </c>
      <c r="F37" s="500">
        <f t="shared" si="15"/>
        <v>147.5495</v>
      </c>
      <c r="G37" s="500">
        <f t="shared" si="15"/>
        <v>42.97978125</v>
      </c>
      <c r="H37" s="500">
        <f t="shared" si="15"/>
        <v>68.0596875</v>
      </c>
      <c r="I37" s="500">
        <f t="shared" si="15"/>
        <v>60.59655</v>
      </c>
      <c r="J37" s="500">
        <f t="shared" si="15"/>
        <v>86.01016667</v>
      </c>
      <c r="K37" s="500">
        <f t="shared" si="15"/>
        <v>41.433</v>
      </c>
      <c r="L37" s="500">
        <f t="shared" si="15"/>
        <v>130.3794545</v>
      </c>
      <c r="M37" s="500">
        <f t="shared" si="15"/>
        <v>60.802875</v>
      </c>
      <c r="N37" s="500">
        <f t="shared" si="13"/>
        <v>91.1550515</v>
      </c>
      <c r="O37" s="543"/>
      <c r="P37" s="543"/>
      <c r="Q37" s="543"/>
      <c r="R37" s="543"/>
      <c r="S37" s="539"/>
      <c r="T37" s="260"/>
      <c r="U37" s="260"/>
      <c r="V37" s="260"/>
      <c r="W37" s="260"/>
      <c r="X37" s="260"/>
      <c r="Y37" s="260"/>
      <c r="Z37" s="260"/>
    </row>
    <row r="38" ht="13.5" customHeight="1">
      <c r="A38" s="260"/>
      <c r="B38" s="260"/>
      <c r="C38" s="544" t="s">
        <v>196</v>
      </c>
      <c r="D38" s="500"/>
      <c r="E38" s="500"/>
      <c r="F38" s="500"/>
      <c r="G38" s="500"/>
      <c r="H38" s="500"/>
      <c r="I38" s="500"/>
      <c r="J38" s="500"/>
      <c r="K38" s="500"/>
      <c r="L38" s="500"/>
      <c r="M38" s="500"/>
      <c r="N38" s="545">
        <f>3600/N37</f>
        <v>39.49314866</v>
      </c>
      <c r="O38" s="547"/>
      <c r="Q38" s="547"/>
      <c r="R38" s="547"/>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532"/>
      <c r="B41" s="532"/>
      <c r="C41" s="548" t="s">
        <v>265</v>
      </c>
      <c r="D41" s="532"/>
      <c r="E41" s="532"/>
      <c r="F41" s="532"/>
      <c r="G41" s="532"/>
      <c r="H41" s="532"/>
      <c r="I41" s="532"/>
      <c r="J41" s="532"/>
      <c r="K41" s="532"/>
      <c r="L41" s="532"/>
      <c r="M41" s="532"/>
      <c r="N41" s="534" t="s">
        <v>163</v>
      </c>
      <c r="O41" s="535"/>
      <c r="P41" s="535"/>
      <c r="Q41" s="535"/>
      <c r="R41" s="536"/>
      <c r="S41" s="536"/>
      <c r="T41" s="532"/>
      <c r="U41" s="532"/>
      <c r="V41" s="532"/>
      <c r="W41" s="532"/>
      <c r="X41" s="532"/>
      <c r="Y41" s="532"/>
      <c r="Z41" s="532"/>
    </row>
    <row r="42" ht="13.5" customHeight="1">
      <c r="A42" s="260"/>
      <c r="B42" s="260"/>
      <c r="C42" s="537" t="s">
        <v>192</v>
      </c>
      <c r="D42" s="538">
        <v>1.0</v>
      </c>
      <c r="E42" s="538">
        <v>1.0</v>
      </c>
      <c r="F42" s="538">
        <v>1.0</v>
      </c>
      <c r="G42" s="538">
        <v>1.0</v>
      </c>
      <c r="H42" s="538">
        <v>1.0</v>
      </c>
      <c r="I42" s="538">
        <v>1.0</v>
      </c>
      <c r="J42" s="538">
        <v>1.0</v>
      </c>
      <c r="K42" s="538">
        <v>1.0</v>
      </c>
      <c r="L42" s="538">
        <v>1.0</v>
      </c>
      <c r="M42" s="538">
        <v>1.0</v>
      </c>
      <c r="N42" s="538">
        <f t="shared" ref="N42:N45" si="17">AVERAGE(D42:M42)</f>
        <v>1</v>
      </c>
      <c r="O42" s="539"/>
      <c r="P42" s="540"/>
      <c r="T42" s="260"/>
      <c r="U42" s="260"/>
      <c r="V42" s="260"/>
      <c r="W42" s="260"/>
      <c r="X42" s="260"/>
      <c r="Y42" s="260"/>
      <c r="Z42" s="260"/>
    </row>
    <row r="43" ht="13.5" customHeight="1">
      <c r="A43" s="260"/>
      <c r="B43" s="260"/>
      <c r="C43" s="537" t="s">
        <v>193</v>
      </c>
      <c r="D43" s="500" t="str">
        <f t="shared" ref="D43:M43" si="16">D28/D32</f>
        <v>#DIV/0!</v>
      </c>
      <c r="E43" s="500" t="str">
        <f t="shared" si="16"/>
        <v>#DIV/0!</v>
      </c>
      <c r="F43" s="500" t="str">
        <f t="shared" si="16"/>
        <v>#DIV/0!</v>
      </c>
      <c r="G43" s="500" t="str">
        <f t="shared" si="16"/>
        <v>#DIV/0!</v>
      </c>
      <c r="H43" s="500" t="str">
        <f t="shared" si="16"/>
        <v>#DIV/0!</v>
      </c>
      <c r="I43" s="500" t="str">
        <f t="shared" si="16"/>
        <v>#DIV/0!</v>
      </c>
      <c r="J43" s="500" t="str">
        <f t="shared" si="16"/>
        <v>#DIV/0!</v>
      </c>
      <c r="K43" s="500" t="str">
        <f t="shared" si="16"/>
        <v>#DIV/0!</v>
      </c>
      <c r="L43" s="500" t="str">
        <f t="shared" si="16"/>
        <v>#DIV/0!</v>
      </c>
      <c r="M43" s="500" t="str">
        <f t="shared" si="16"/>
        <v>#DIV/0!</v>
      </c>
      <c r="N43" s="500" t="str">
        <f t="shared" si="17"/>
        <v>#DIV/0!</v>
      </c>
      <c r="O43" s="539"/>
      <c r="P43" s="542"/>
      <c r="Q43" s="540"/>
      <c r="R43" s="540"/>
      <c r="S43" s="540"/>
      <c r="T43" s="260"/>
      <c r="U43" s="260"/>
      <c r="V43" s="260"/>
      <c r="W43" s="260"/>
      <c r="X43" s="260"/>
      <c r="Y43" s="260"/>
      <c r="Z43" s="260"/>
    </row>
    <row r="44" ht="13.5" customHeight="1">
      <c r="A44" s="260"/>
      <c r="B44" s="260"/>
      <c r="C44" s="537" t="s">
        <v>194</v>
      </c>
      <c r="D44" s="500" t="str">
        <f t="shared" ref="D44:M44" si="18">D43*D42</f>
        <v>#DIV/0!</v>
      </c>
      <c r="E44" s="500" t="str">
        <f t="shared" si="18"/>
        <v>#DIV/0!</v>
      </c>
      <c r="F44" s="500" t="str">
        <f t="shared" si="18"/>
        <v>#DIV/0!</v>
      </c>
      <c r="G44" s="500" t="str">
        <f t="shared" si="18"/>
        <v>#DIV/0!</v>
      </c>
      <c r="H44" s="500" t="str">
        <f t="shared" si="18"/>
        <v>#DIV/0!</v>
      </c>
      <c r="I44" s="500" t="str">
        <f t="shared" si="18"/>
        <v>#DIV/0!</v>
      </c>
      <c r="J44" s="500" t="str">
        <f t="shared" si="18"/>
        <v>#DIV/0!</v>
      </c>
      <c r="K44" s="500" t="str">
        <f t="shared" si="18"/>
        <v>#DIV/0!</v>
      </c>
      <c r="L44" s="500" t="str">
        <f t="shared" si="18"/>
        <v>#DIV/0!</v>
      </c>
      <c r="M44" s="500" t="str">
        <f t="shared" si="18"/>
        <v>#DIV/0!</v>
      </c>
      <c r="N44" s="500" t="str">
        <f t="shared" si="17"/>
        <v>#DIV/0!</v>
      </c>
      <c r="O44" s="539"/>
      <c r="P44" s="542"/>
      <c r="Q44" s="540"/>
      <c r="R44" s="540"/>
      <c r="S44" s="540"/>
      <c r="T44" s="260"/>
      <c r="U44" s="260"/>
      <c r="V44" s="260"/>
      <c r="W44" s="260"/>
      <c r="X44" s="260"/>
      <c r="Y44" s="260"/>
      <c r="Z44" s="260"/>
    </row>
    <row r="45" ht="13.5" customHeight="1">
      <c r="A45" s="260"/>
      <c r="B45" s="260"/>
      <c r="C45" s="537" t="s">
        <v>195</v>
      </c>
      <c r="D45" s="500" t="str">
        <f t="shared" ref="D45:M45" si="19">D44*(1+0.05)</f>
        <v>#DIV/0!</v>
      </c>
      <c r="E45" s="500" t="str">
        <f t="shared" si="19"/>
        <v>#DIV/0!</v>
      </c>
      <c r="F45" s="500" t="str">
        <f t="shared" si="19"/>
        <v>#DIV/0!</v>
      </c>
      <c r="G45" s="500" t="str">
        <f t="shared" si="19"/>
        <v>#DIV/0!</v>
      </c>
      <c r="H45" s="500" t="str">
        <f t="shared" si="19"/>
        <v>#DIV/0!</v>
      </c>
      <c r="I45" s="500" t="str">
        <f t="shared" si="19"/>
        <v>#DIV/0!</v>
      </c>
      <c r="J45" s="500" t="str">
        <f t="shared" si="19"/>
        <v>#DIV/0!</v>
      </c>
      <c r="K45" s="500" t="str">
        <f t="shared" si="19"/>
        <v>#DIV/0!</v>
      </c>
      <c r="L45" s="500" t="str">
        <f t="shared" si="19"/>
        <v>#DIV/0!</v>
      </c>
      <c r="M45" s="500" t="str">
        <f t="shared" si="19"/>
        <v>#DIV/0!</v>
      </c>
      <c r="N45" s="500" t="str">
        <f t="shared" si="17"/>
        <v>#DIV/0!</v>
      </c>
      <c r="O45" s="543"/>
      <c r="P45" s="543"/>
      <c r="Q45" s="543"/>
      <c r="R45" s="543"/>
      <c r="S45" s="539"/>
      <c r="T45" s="260"/>
      <c r="U45" s="260"/>
      <c r="V45" s="260"/>
      <c r="W45" s="260"/>
      <c r="X45" s="260"/>
      <c r="Y45" s="260"/>
      <c r="Z45" s="260"/>
    </row>
    <row r="46" ht="13.5" customHeight="1">
      <c r="A46" s="260"/>
      <c r="B46" s="260"/>
      <c r="C46" s="544" t="s">
        <v>196</v>
      </c>
      <c r="D46" s="500"/>
      <c r="E46" s="500"/>
      <c r="F46" s="500"/>
      <c r="G46" s="500"/>
      <c r="H46" s="500"/>
      <c r="I46" s="500"/>
      <c r="J46" s="500"/>
      <c r="K46" s="500"/>
      <c r="L46" s="500"/>
      <c r="M46" s="500"/>
      <c r="N46" s="545" t="str">
        <f>3600/N45</f>
        <v>#DIV/0!</v>
      </c>
      <c r="O46" s="547"/>
      <c r="Q46" s="547"/>
      <c r="R46" s="547"/>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3.5"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3.5"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3.5"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3.5"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3.5"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3.5"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3.5"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3.5"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3.5"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3.5"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3.5"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3.5"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3.5"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3.5" customHeight="1">
      <c r="A246" s="260"/>
      <c r="B246" s="260"/>
      <c r="C246" s="260"/>
      <c r="D246" s="260"/>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 ref="O38:P38"/>
    <mergeCell ref="O46:P46"/>
    <mergeCell ref="H4:J5"/>
    <mergeCell ref="K4:N5"/>
    <mergeCell ref="P24:S24"/>
    <mergeCell ref="O28:P28"/>
    <mergeCell ref="O29:P29"/>
    <mergeCell ref="P34:S34"/>
    <mergeCell ref="P42:S42"/>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19.29"/>
    <col customWidth="1" min="5" max="5" width="19.0"/>
    <col customWidth="1" min="6" max="6" width="20.0"/>
    <col customWidth="1" min="7" max="7" width="17.71"/>
    <col customWidth="1" min="8" max="8" width="20.14"/>
    <col customWidth="1" min="9" max="9" width="18.86"/>
    <col customWidth="1" min="10" max="11" width="18.57"/>
    <col customWidth="1" min="12" max="12" width="17.86"/>
    <col customWidth="1" min="13" max="13" width="19.71"/>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212</v>
      </c>
      <c r="C4" s="468"/>
      <c r="D4" s="469"/>
      <c r="E4" s="470"/>
      <c r="F4" s="468"/>
      <c r="G4" s="469"/>
      <c r="H4" s="471" t="s">
        <v>332</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20"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621"/>
      <c r="S8" s="495"/>
      <c r="T8" s="496"/>
      <c r="U8" s="260"/>
      <c r="V8" s="260"/>
      <c r="W8" s="260"/>
      <c r="X8" s="260"/>
      <c r="Y8" s="260"/>
      <c r="Z8" s="260"/>
    </row>
    <row r="9" ht="13.5" customHeight="1">
      <c r="A9" s="497"/>
      <c r="B9" s="498">
        <v>1.0</v>
      </c>
      <c r="C9" s="499" t="s">
        <v>382</v>
      </c>
      <c r="D9" s="500">
        <v>449.41</v>
      </c>
      <c r="E9" s="500">
        <v>738.97</v>
      </c>
      <c r="F9" s="500">
        <v>258.17</v>
      </c>
      <c r="G9" s="500">
        <v>456.4</v>
      </c>
      <c r="H9" s="500">
        <v>738.97</v>
      </c>
      <c r="I9" s="606">
        <v>258.17</v>
      </c>
      <c r="J9" s="606">
        <v>964.75</v>
      </c>
      <c r="K9" s="606">
        <v>1792.16</v>
      </c>
      <c r="L9" s="606">
        <v>935.0</v>
      </c>
      <c r="M9" s="606">
        <v>814.0</v>
      </c>
      <c r="N9" s="501">
        <f t="shared" ref="N9:N10" si="1">SUM(D9:M9)</f>
        <v>7406</v>
      </c>
      <c r="O9" s="485"/>
      <c r="P9" s="607">
        <f t="shared" ref="P9:P10" si="2">AVERAGE(D9:M9)</f>
        <v>740.6</v>
      </c>
      <c r="Q9" s="608">
        <f t="shared" ref="Q9:Q10" si="3">MAX(D9:M9)</f>
        <v>1792.16</v>
      </c>
      <c r="R9" s="622">
        <f t="shared" ref="R9:R10" si="4">P9/$P$11</f>
        <v>0.875010338</v>
      </c>
      <c r="S9" s="623"/>
      <c r="T9" s="624"/>
      <c r="U9" s="497"/>
      <c r="V9" s="497"/>
      <c r="W9" s="497"/>
      <c r="X9" s="497"/>
      <c r="Y9" s="497"/>
      <c r="Z9" s="497"/>
    </row>
    <row r="10" ht="13.5" customHeight="1">
      <c r="A10" s="485"/>
      <c r="B10" s="498">
        <v>2.0</v>
      </c>
      <c r="C10" s="499" t="s">
        <v>335</v>
      </c>
      <c r="D10" s="500">
        <v>96.4</v>
      </c>
      <c r="E10" s="500">
        <v>105.01</v>
      </c>
      <c r="F10" s="500">
        <v>136.2</v>
      </c>
      <c r="G10" s="500">
        <v>96.4</v>
      </c>
      <c r="H10" s="500">
        <v>106.01</v>
      </c>
      <c r="I10" s="606">
        <v>136.2</v>
      </c>
      <c r="J10" s="606">
        <v>71.91</v>
      </c>
      <c r="K10" s="606">
        <v>65.99</v>
      </c>
      <c r="L10" s="606">
        <v>69.35</v>
      </c>
      <c r="M10" s="606">
        <v>174.43</v>
      </c>
      <c r="N10" s="501">
        <f t="shared" si="1"/>
        <v>1057.9</v>
      </c>
      <c r="O10" s="485"/>
      <c r="P10" s="607">
        <f t="shared" si="2"/>
        <v>105.79</v>
      </c>
      <c r="Q10" s="608">
        <f t="shared" si="3"/>
        <v>174.43</v>
      </c>
      <c r="R10" s="625">
        <f t="shared" si="4"/>
        <v>0.124989662</v>
      </c>
      <c r="S10" s="626"/>
      <c r="T10" s="485"/>
      <c r="U10" s="485"/>
      <c r="V10" s="485"/>
      <c r="W10" s="485"/>
      <c r="X10" s="485"/>
      <c r="Y10" s="485"/>
      <c r="Z10" s="485"/>
    </row>
    <row r="11" ht="13.5" customHeight="1">
      <c r="A11" s="260"/>
      <c r="B11" s="507"/>
      <c r="C11" s="508" t="s">
        <v>180</v>
      </c>
      <c r="D11" s="613">
        <f t="shared" ref="D11:M11" si="5">SUM(D9:D10)</f>
        <v>545.81</v>
      </c>
      <c r="E11" s="613">
        <f t="shared" si="5"/>
        <v>843.98</v>
      </c>
      <c r="F11" s="613">
        <f t="shared" si="5"/>
        <v>394.37</v>
      </c>
      <c r="G11" s="613">
        <f t="shared" si="5"/>
        <v>552.8</v>
      </c>
      <c r="H11" s="613">
        <f t="shared" si="5"/>
        <v>844.98</v>
      </c>
      <c r="I11" s="613">
        <f t="shared" si="5"/>
        <v>394.37</v>
      </c>
      <c r="J11" s="613">
        <f t="shared" si="5"/>
        <v>1036.66</v>
      </c>
      <c r="K11" s="613">
        <f t="shared" si="5"/>
        <v>1858.15</v>
      </c>
      <c r="L11" s="613">
        <f t="shared" si="5"/>
        <v>1004.35</v>
      </c>
      <c r="M11" s="613">
        <f t="shared" si="5"/>
        <v>988.43</v>
      </c>
      <c r="N11" s="510">
        <f>SUM(D11:H11)</f>
        <v>3181.94</v>
      </c>
      <c r="O11" s="479" t="s">
        <v>10</v>
      </c>
      <c r="P11" s="614">
        <f t="shared" ref="P11:Q11" si="6">SUM(P9:P10)</f>
        <v>846.39</v>
      </c>
      <c r="Q11" s="615">
        <f t="shared" si="6"/>
        <v>1966.59</v>
      </c>
      <c r="R11" s="616"/>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6">
        <f>N11/60</f>
        <v>53.03233333</v>
      </c>
      <c r="O12" s="479"/>
      <c r="P12" s="515"/>
      <c r="Q12" s="515"/>
      <c r="R12" s="479"/>
      <c r="S12" s="260"/>
      <c r="T12" s="260"/>
      <c r="U12" s="260"/>
      <c r="V12" s="260"/>
      <c r="W12" s="260"/>
      <c r="X12" s="260"/>
      <c r="Y12" s="260"/>
      <c r="Z12" s="260"/>
    </row>
    <row r="13" ht="13.5" customHeight="1">
      <c r="A13" s="260"/>
      <c r="B13" s="260"/>
      <c r="C13" s="514"/>
      <c r="D13" s="515"/>
      <c r="E13" s="515"/>
      <c r="F13" s="515"/>
      <c r="G13" s="515"/>
      <c r="H13" s="515"/>
      <c r="I13" s="515"/>
      <c r="J13" s="515"/>
      <c r="K13" s="515"/>
      <c r="L13" s="515"/>
      <c r="M13" s="515"/>
      <c r="N13" s="517" t="s">
        <v>182</v>
      </c>
      <c r="O13" s="479"/>
      <c r="P13" s="515"/>
      <c r="Q13" s="515"/>
      <c r="R13" s="479"/>
      <c r="S13" s="260"/>
      <c r="T13" s="260"/>
      <c r="U13" s="260"/>
      <c r="V13" s="260"/>
      <c r="W13" s="260"/>
      <c r="X13" s="260"/>
      <c r="Y13" s="260"/>
      <c r="Z13" s="260"/>
    </row>
    <row r="14" ht="7.5" customHeight="1">
      <c r="A14" s="260"/>
      <c r="B14" s="260"/>
      <c r="C14" s="514"/>
      <c r="D14" s="515"/>
      <c r="E14" s="515"/>
      <c r="F14" s="515"/>
      <c r="G14" s="515"/>
      <c r="H14" s="515"/>
      <c r="I14" s="515"/>
      <c r="J14" s="515"/>
      <c r="K14" s="515"/>
      <c r="L14" s="515"/>
      <c r="M14" s="515"/>
      <c r="N14" s="516"/>
      <c r="O14" s="479"/>
      <c r="P14" s="515"/>
      <c r="Q14" s="515"/>
      <c r="R14" s="479"/>
      <c r="S14" s="260"/>
      <c r="T14" s="260"/>
      <c r="U14" s="260"/>
      <c r="V14" s="260"/>
      <c r="W14" s="260"/>
      <c r="X14" s="260"/>
      <c r="Y14" s="260"/>
      <c r="Z14" s="260"/>
    </row>
    <row r="15" ht="13.5" customHeight="1">
      <c r="A15" s="260"/>
      <c r="B15" s="260"/>
      <c r="C15" s="518" t="s">
        <v>238</v>
      </c>
      <c r="D15" s="526" t="s">
        <v>383</v>
      </c>
      <c r="E15" s="526" t="s">
        <v>384</v>
      </c>
      <c r="F15" s="526" t="s">
        <v>385</v>
      </c>
      <c r="G15" s="526" t="s">
        <v>383</v>
      </c>
      <c r="H15" s="526" t="s">
        <v>386</v>
      </c>
      <c r="I15" s="531" t="s">
        <v>385</v>
      </c>
      <c r="J15" s="531" t="s">
        <v>387</v>
      </c>
      <c r="K15" s="531" t="s">
        <v>388</v>
      </c>
      <c r="L15" s="531" t="s">
        <v>389</v>
      </c>
      <c r="M15" s="531" t="s">
        <v>390</v>
      </c>
      <c r="N15" s="520"/>
      <c r="O15" s="479"/>
      <c r="P15" s="479"/>
      <c r="Q15" s="521"/>
      <c r="R15" s="260"/>
      <c r="S15" s="260"/>
      <c r="T15" s="260"/>
      <c r="U15" s="260"/>
      <c r="V15" s="260"/>
      <c r="W15" s="260"/>
      <c r="X15" s="260"/>
      <c r="Y15" s="260"/>
      <c r="Z15" s="260"/>
    </row>
    <row r="16" ht="13.5" customHeight="1">
      <c r="A16" s="260"/>
      <c r="B16" s="260"/>
      <c r="C16" s="518" t="s">
        <v>240</v>
      </c>
      <c r="D16" s="522">
        <v>3.0</v>
      </c>
      <c r="E16" s="522">
        <v>2.0</v>
      </c>
      <c r="F16" s="522">
        <v>2.0</v>
      </c>
      <c r="G16" s="522">
        <v>3.0</v>
      </c>
      <c r="H16" s="522">
        <v>2.0</v>
      </c>
      <c r="I16" s="523">
        <v>2.0</v>
      </c>
      <c r="J16" s="523">
        <v>8.0</v>
      </c>
      <c r="K16" s="523">
        <v>7.0</v>
      </c>
      <c r="L16" s="523">
        <v>4.0</v>
      </c>
      <c r="M16" s="523">
        <v>4.0</v>
      </c>
      <c r="N16" s="520"/>
      <c r="O16" s="479"/>
      <c r="P16" s="479"/>
      <c r="Q16" s="521"/>
      <c r="R16" s="260"/>
      <c r="S16" s="260"/>
      <c r="T16" s="260"/>
      <c r="U16" s="260"/>
      <c r="V16" s="260"/>
      <c r="W16" s="260"/>
      <c r="X16" s="260"/>
      <c r="Y16" s="260"/>
      <c r="Z16" s="260"/>
    </row>
    <row r="17" ht="13.5" customHeight="1">
      <c r="A17" s="260"/>
      <c r="B17" s="260"/>
      <c r="C17" s="518" t="s">
        <v>272</v>
      </c>
      <c r="D17" s="522" t="s">
        <v>391</v>
      </c>
      <c r="E17" s="522" t="s">
        <v>392</v>
      </c>
      <c r="F17" s="522" t="s">
        <v>393</v>
      </c>
      <c r="G17" s="522" t="s">
        <v>394</v>
      </c>
      <c r="H17" s="522" t="s">
        <v>395</v>
      </c>
      <c r="I17" s="523" t="s">
        <v>396</v>
      </c>
      <c r="J17" s="531" t="s">
        <v>397</v>
      </c>
      <c r="K17" s="531" t="s">
        <v>398</v>
      </c>
      <c r="L17" s="523" t="s">
        <v>399</v>
      </c>
      <c r="M17" s="523" t="s">
        <v>400</v>
      </c>
      <c r="N17" s="520"/>
      <c r="O17" s="479"/>
      <c r="P17" s="479"/>
      <c r="Q17" s="521"/>
      <c r="R17" s="260"/>
      <c r="S17" s="260"/>
      <c r="T17" s="260"/>
      <c r="U17" s="260"/>
      <c r="V17" s="260"/>
      <c r="W17" s="260"/>
      <c r="X17" s="260"/>
      <c r="Y17" s="260"/>
      <c r="Z17" s="260"/>
    </row>
    <row r="18" ht="13.5" customHeight="1">
      <c r="A18" s="260"/>
      <c r="B18" s="260"/>
      <c r="C18" s="518" t="s">
        <v>187</v>
      </c>
      <c r="D18" s="522" t="s">
        <v>328</v>
      </c>
      <c r="E18" s="522" t="s">
        <v>328</v>
      </c>
      <c r="F18" s="522" t="s">
        <v>328</v>
      </c>
      <c r="G18" s="522" t="s">
        <v>328</v>
      </c>
      <c r="H18" s="522" t="s">
        <v>328</v>
      </c>
      <c r="I18" s="522" t="s">
        <v>328</v>
      </c>
      <c r="J18" s="522" t="s">
        <v>328</v>
      </c>
      <c r="K18" s="522" t="s">
        <v>328</v>
      </c>
      <c r="L18" s="522" t="s">
        <v>328</v>
      </c>
      <c r="M18" s="522" t="s">
        <v>328</v>
      </c>
      <c r="N18" s="520"/>
      <c r="O18" s="479"/>
      <c r="P18" s="479"/>
      <c r="Q18" s="521"/>
      <c r="R18" s="260"/>
      <c r="S18" s="260"/>
      <c r="T18" s="260"/>
      <c r="U18" s="260"/>
      <c r="V18" s="260"/>
      <c r="W18" s="260"/>
      <c r="X18" s="260"/>
      <c r="Y18" s="260"/>
      <c r="Z18" s="260"/>
    </row>
    <row r="19" ht="13.5" customHeight="1">
      <c r="A19" s="260"/>
      <c r="B19" s="260"/>
      <c r="C19" s="518" t="s">
        <v>401</v>
      </c>
      <c r="D19" s="522">
        <v>1.0</v>
      </c>
      <c r="E19" s="522">
        <v>2.0</v>
      </c>
      <c r="F19" s="522">
        <v>2.0</v>
      </c>
      <c r="G19" s="522">
        <v>1.0</v>
      </c>
      <c r="H19" s="522">
        <v>2.0</v>
      </c>
      <c r="I19" s="523">
        <v>2.0</v>
      </c>
      <c r="J19" s="523">
        <v>6.0</v>
      </c>
      <c r="K19" s="523">
        <v>6.0</v>
      </c>
      <c r="L19" s="523">
        <v>3.0</v>
      </c>
      <c r="M19" s="523">
        <v>4.0</v>
      </c>
      <c r="N19" s="520"/>
      <c r="O19" s="479"/>
      <c r="P19" s="479"/>
      <c r="Q19" s="521"/>
      <c r="R19" s="260"/>
      <c r="S19" s="260"/>
      <c r="T19" s="260"/>
      <c r="U19" s="260"/>
      <c r="V19" s="260"/>
      <c r="W19" s="260"/>
      <c r="X19" s="260"/>
      <c r="Y19" s="260"/>
      <c r="Z19" s="260"/>
    </row>
    <row r="20" ht="13.5" customHeight="1">
      <c r="A20" s="260"/>
      <c r="B20" s="260"/>
      <c r="C20" s="518" t="s">
        <v>243</v>
      </c>
      <c r="D20" s="522" t="s">
        <v>402</v>
      </c>
      <c r="E20" s="522" t="s">
        <v>402</v>
      </c>
      <c r="F20" s="522" t="s">
        <v>402</v>
      </c>
      <c r="G20" s="522" t="s">
        <v>402</v>
      </c>
      <c r="H20" s="522" t="s">
        <v>402</v>
      </c>
      <c r="I20" s="522" t="s">
        <v>402</v>
      </c>
      <c r="J20" s="522" t="s">
        <v>402</v>
      </c>
      <c r="K20" s="522" t="s">
        <v>402</v>
      </c>
      <c r="L20" s="522" t="s">
        <v>402</v>
      </c>
      <c r="M20" s="522" t="s">
        <v>402</v>
      </c>
      <c r="N20" s="520"/>
      <c r="O20" s="479"/>
      <c r="P20" s="479"/>
      <c r="Q20" s="521"/>
      <c r="R20" s="260"/>
      <c r="S20" s="260"/>
      <c r="T20" s="260"/>
      <c r="U20" s="260"/>
      <c r="V20" s="260"/>
      <c r="W20" s="260"/>
      <c r="X20" s="260"/>
      <c r="Y20" s="260"/>
      <c r="Z20" s="260"/>
    </row>
    <row r="21" ht="13.5" customHeight="1">
      <c r="A21" s="260"/>
      <c r="B21" s="260"/>
      <c r="C21" s="518" t="s">
        <v>249</v>
      </c>
      <c r="D21" s="526" t="s">
        <v>403</v>
      </c>
      <c r="E21" s="526" t="s">
        <v>403</v>
      </c>
      <c r="F21" s="526" t="s">
        <v>404</v>
      </c>
      <c r="G21" s="522" t="s">
        <v>405</v>
      </c>
      <c r="H21" s="522" t="s">
        <v>405</v>
      </c>
      <c r="I21" s="531"/>
      <c r="J21" s="531" t="s">
        <v>406</v>
      </c>
      <c r="K21" s="531" t="s">
        <v>407</v>
      </c>
      <c r="L21" s="523" t="s">
        <v>408</v>
      </c>
      <c r="M21" s="523" t="s">
        <v>409</v>
      </c>
      <c r="N21" s="520"/>
      <c r="O21" s="479"/>
      <c r="P21" s="479"/>
      <c r="Q21" s="521"/>
      <c r="R21" s="260"/>
      <c r="S21" s="260"/>
      <c r="T21" s="260"/>
      <c r="U21" s="260"/>
      <c r="V21" s="260"/>
      <c r="W21" s="260"/>
      <c r="X21" s="260"/>
      <c r="Y21" s="260"/>
      <c r="Z21" s="260"/>
    </row>
    <row r="22" ht="13.5" customHeight="1">
      <c r="A22" s="260"/>
      <c r="B22" s="260"/>
      <c r="C22" s="514"/>
      <c r="D22" s="479"/>
      <c r="E22" s="479"/>
      <c r="F22" s="479"/>
      <c r="G22" s="479"/>
      <c r="H22" s="479"/>
      <c r="I22" s="479"/>
      <c r="J22" s="479"/>
      <c r="K22" s="479"/>
      <c r="L22" s="479"/>
      <c r="M22" s="479"/>
      <c r="N22" s="520"/>
      <c r="O22" s="479"/>
      <c r="P22" s="479"/>
      <c r="Q22" s="521"/>
      <c r="R22" s="260"/>
      <c r="S22" s="260"/>
      <c r="T22" s="260"/>
      <c r="U22" s="260"/>
      <c r="V22" s="260"/>
      <c r="W22" s="260"/>
      <c r="X22" s="260"/>
      <c r="Y22" s="260"/>
      <c r="Z22" s="260"/>
    </row>
    <row r="23" ht="13.5" customHeight="1">
      <c r="A23" s="532"/>
      <c r="B23" s="532"/>
      <c r="C23" s="548" t="s">
        <v>286</v>
      </c>
      <c r="D23" s="532"/>
      <c r="E23" s="532"/>
      <c r="F23" s="532"/>
      <c r="G23" s="532"/>
      <c r="H23" s="532"/>
      <c r="I23" s="532"/>
      <c r="J23" s="532"/>
      <c r="K23" s="532"/>
      <c r="L23" s="532"/>
      <c r="M23" s="532"/>
      <c r="N23" s="534" t="s">
        <v>163</v>
      </c>
      <c r="O23" s="535"/>
      <c r="P23" s="535"/>
      <c r="Q23" s="535"/>
      <c r="R23" s="536"/>
      <c r="S23" s="536"/>
      <c r="T23" s="532"/>
      <c r="U23" s="532"/>
      <c r="V23" s="532"/>
      <c r="W23" s="532"/>
      <c r="X23" s="532"/>
      <c r="Y23" s="532"/>
      <c r="Z23" s="532"/>
    </row>
    <row r="24" ht="13.5" customHeight="1">
      <c r="A24" s="260"/>
      <c r="B24" s="260"/>
      <c r="C24" s="537" t="s">
        <v>192</v>
      </c>
      <c r="D24" s="538">
        <v>1.0</v>
      </c>
      <c r="E24" s="538">
        <v>1.0</v>
      </c>
      <c r="F24" s="538">
        <v>1.0</v>
      </c>
      <c r="G24" s="538">
        <v>1.0</v>
      </c>
      <c r="H24" s="538">
        <v>1.0</v>
      </c>
      <c r="I24" s="538">
        <v>1.0</v>
      </c>
      <c r="J24" s="538">
        <v>1.0</v>
      </c>
      <c r="K24" s="538">
        <v>1.0</v>
      </c>
      <c r="L24" s="538">
        <v>1.0</v>
      </c>
      <c r="M24" s="538">
        <v>1.0</v>
      </c>
      <c r="N24" s="538">
        <f t="shared" ref="N24:N27" si="8">AVERAGE(D24:M24)</f>
        <v>1</v>
      </c>
      <c r="O24" s="539"/>
      <c r="P24" s="540"/>
      <c r="T24" s="260"/>
      <c r="U24" s="260"/>
      <c r="V24" s="260"/>
      <c r="W24" s="260"/>
      <c r="X24" s="260"/>
      <c r="Y24" s="260"/>
      <c r="Z24" s="260"/>
    </row>
    <row r="25" ht="13.5" customHeight="1">
      <c r="A25" s="260"/>
      <c r="B25" s="260"/>
      <c r="C25" s="537" t="s">
        <v>193</v>
      </c>
      <c r="D25" s="541">
        <f t="shared" ref="D25:M25" si="7">D11/D19</f>
        <v>545.81</v>
      </c>
      <c r="E25" s="541">
        <f t="shared" si="7"/>
        <v>421.99</v>
      </c>
      <c r="F25" s="541">
        <f t="shared" si="7"/>
        <v>197.185</v>
      </c>
      <c r="G25" s="541">
        <f t="shared" si="7"/>
        <v>552.8</v>
      </c>
      <c r="H25" s="541">
        <f t="shared" si="7"/>
        <v>422.49</v>
      </c>
      <c r="I25" s="541">
        <f t="shared" si="7"/>
        <v>197.185</v>
      </c>
      <c r="J25" s="541">
        <f t="shared" si="7"/>
        <v>172.7766667</v>
      </c>
      <c r="K25" s="541">
        <f t="shared" si="7"/>
        <v>309.6916667</v>
      </c>
      <c r="L25" s="541">
        <f t="shared" si="7"/>
        <v>334.7833333</v>
      </c>
      <c r="M25" s="541">
        <f t="shared" si="7"/>
        <v>247.1075</v>
      </c>
      <c r="N25" s="500">
        <f t="shared" si="8"/>
        <v>340.1819167</v>
      </c>
      <c r="O25" s="539"/>
      <c r="P25" s="542"/>
      <c r="Q25" s="540"/>
      <c r="R25" s="540"/>
      <c r="S25" s="540"/>
      <c r="T25" s="260"/>
      <c r="U25" s="260"/>
      <c r="V25" s="260"/>
      <c r="W25" s="260"/>
      <c r="X25" s="260"/>
      <c r="Y25" s="260"/>
      <c r="Z25" s="260"/>
    </row>
    <row r="26" ht="13.5" customHeight="1">
      <c r="A26" s="260"/>
      <c r="B26" s="260"/>
      <c r="C26" s="537" t="s">
        <v>194</v>
      </c>
      <c r="D26" s="500">
        <f t="shared" ref="D26:M26" si="9">D25*D24</f>
        <v>545.81</v>
      </c>
      <c r="E26" s="500">
        <f t="shared" si="9"/>
        <v>421.99</v>
      </c>
      <c r="F26" s="500">
        <f t="shared" si="9"/>
        <v>197.185</v>
      </c>
      <c r="G26" s="500">
        <f t="shared" si="9"/>
        <v>552.8</v>
      </c>
      <c r="H26" s="500">
        <f t="shared" si="9"/>
        <v>422.49</v>
      </c>
      <c r="I26" s="500">
        <f t="shared" si="9"/>
        <v>197.185</v>
      </c>
      <c r="J26" s="500">
        <f t="shared" si="9"/>
        <v>172.7766667</v>
      </c>
      <c r="K26" s="500">
        <f t="shared" si="9"/>
        <v>309.6916667</v>
      </c>
      <c r="L26" s="500">
        <f t="shared" si="9"/>
        <v>334.7833333</v>
      </c>
      <c r="M26" s="500">
        <f t="shared" si="9"/>
        <v>247.1075</v>
      </c>
      <c r="N26" s="500">
        <f t="shared" si="8"/>
        <v>340.1819167</v>
      </c>
      <c r="O26" s="539"/>
      <c r="P26" s="542"/>
      <c r="Q26" s="540"/>
      <c r="R26" s="540"/>
      <c r="S26" s="540"/>
      <c r="T26" s="260"/>
      <c r="U26" s="260"/>
      <c r="V26" s="260"/>
      <c r="W26" s="260"/>
      <c r="X26" s="260"/>
      <c r="Y26" s="260"/>
      <c r="Z26" s="260"/>
    </row>
    <row r="27" ht="13.5" customHeight="1">
      <c r="A27" s="260"/>
      <c r="B27" s="260"/>
      <c r="C27" s="537" t="s">
        <v>195</v>
      </c>
      <c r="D27" s="500">
        <f t="shared" ref="D27:M27" si="10">D26*(1+0.05)</f>
        <v>573.1005</v>
      </c>
      <c r="E27" s="500">
        <f t="shared" si="10"/>
        <v>443.0895</v>
      </c>
      <c r="F27" s="500">
        <f t="shared" si="10"/>
        <v>207.04425</v>
      </c>
      <c r="G27" s="500">
        <f t="shared" si="10"/>
        <v>580.44</v>
      </c>
      <c r="H27" s="500">
        <f t="shared" si="10"/>
        <v>443.6145</v>
      </c>
      <c r="I27" s="500">
        <f t="shared" si="10"/>
        <v>207.04425</v>
      </c>
      <c r="J27" s="500">
        <f t="shared" si="10"/>
        <v>181.4155</v>
      </c>
      <c r="K27" s="500">
        <f t="shared" si="10"/>
        <v>325.17625</v>
      </c>
      <c r="L27" s="500">
        <f t="shared" si="10"/>
        <v>351.5225</v>
      </c>
      <c r="M27" s="500">
        <f t="shared" si="10"/>
        <v>259.462875</v>
      </c>
      <c r="N27" s="500">
        <f t="shared" si="8"/>
        <v>357.1910125</v>
      </c>
      <c r="O27" s="543"/>
      <c r="P27" s="543"/>
      <c r="Q27" s="543"/>
      <c r="R27" s="543"/>
      <c r="S27" s="539"/>
      <c r="T27" s="260"/>
      <c r="U27" s="260"/>
      <c r="V27" s="260"/>
      <c r="W27" s="260"/>
      <c r="X27" s="260"/>
      <c r="Y27" s="260"/>
      <c r="Z27" s="260"/>
    </row>
    <row r="28" ht="13.5" customHeight="1">
      <c r="A28" s="260"/>
      <c r="B28" s="260"/>
      <c r="C28" s="544" t="s">
        <v>196</v>
      </c>
      <c r="D28" s="618">
        <f t="shared" ref="D28:M28" si="11">(D27/3600)*100</f>
        <v>15.91945833</v>
      </c>
      <c r="E28" s="618">
        <f t="shared" si="11"/>
        <v>12.30804167</v>
      </c>
      <c r="F28" s="618">
        <f t="shared" si="11"/>
        <v>5.751229167</v>
      </c>
      <c r="G28" s="618">
        <f t="shared" si="11"/>
        <v>16.12333333</v>
      </c>
      <c r="H28" s="618">
        <f t="shared" si="11"/>
        <v>12.322625</v>
      </c>
      <c r="I28" s="618">
        <f t="shared" si="11"/>
        <v>5.751229167</v>
      </c>
      <c r="J28" s="618">
        <f t="shared" si="11"/>
        <v>5.039319444</v>
      </c>
      <c r="K28" s="618">
        <f t="shared" si="11"/>
        <v>9.032673611</v>
      </c>
      <c r="L28" s="618">
        <f t="shared" si="11"/>
        <v>9.764513889</v>
      </c>
      <c r="M28" s="618">
        <f t="shared" si="11"/>
        <v>7.207302083</v>
      </c>
      <c r="N28" s="545">
        <f>3600/N27</f>
        <v>10.07864105</v>
      </c>
      <c r="O28" s="547"/>
      <c r="Q28" s="547"/>
      <c r="R28" s="547"/>
      <c r="S28" s="260"/>
      <c r="T28" s="260"/>
      <c r="U28" s="260"/>
      <c r="V28" s="260"/>
      <c r="W28" s="260"/>
      <c r="X28" s="260"/>
      <c r="Y28" s="260"/>
      <c r="Z28" s="260"/>
    </row>
    <row r="29" ht="13.5" customHeight="1">
      <c r="A29" s="260"/>
      <c r="B29" s="260"/>
      <c r="C29" s="260"/>
      <c r="D29" s="260"/>
      <c r="E29" s="260"/>
      <c r="F29" s="260"/>
      <c r="G29" s="260"/>
      <c r="H29" s="260"/>
      <c r="I29" s="260"/>
      <c r="J29" s="260"/>
      <c r="K29" s="260"/>
      <c r="L29" s="260"/>
      <c r="M29" s="260"/>
      <c r="N29" s="260"/>
      <c r="O29" s="547"/>
      <c r="Q29" s="547"/>
      <c r="R29" s="547"/>
      <c r="S29" s="260"/>
      <c r="T29" s="260"/>
      <c r="U29" s="260"/>
      <c r="V29" s="260"/>
      <c r="W29" s="260"/>
      <c r="X29" s="260"/>
      <c r="Y29" s="260"/>
      <c r="Z29" s="260"/>
    </row>
    <row r="30" ht="13.5" customHeight="1">
      <c r="A30" s="260"/>
      <c r="B30" s="260"/>
      <c r="C30" s="619" t="s">
        <v>357</v>
      </c>
      <c r="D30" s="521">
        <v>0.05</v>
      </c>
      <c r="E30" s="260"/>
      <c r="F30" s="260"/>
      <c r="G30" s="260"/>
      <c r="H30" s="260"/>
      <c r="I30" s="260"/>
      <c r="J30" s="260"/>
      <c r="K30" s="260"/>
      <c r="L30" s="260"/>
      <c r="M30" s="260"/>
      <c r="N30" s="260"/>
      <c r="O30" s="617"/>
      <c r="P30" s="617"/>
      <c r="Q30" s="617"/>
      <c r="R30" s="617"/>
      <c r="S30" s="260"/>
      <c r="T30" s="260"/>
      <c r="U30" s="260"/>
      <c r="V30" s="260"/>
      <c r="W30" s="260"/>
      <c r="X30" s="260"/>
      <c r="Y30" s="260"/>
      <c r="Z30" s="260"/>
    </row>
    <row r="31" ht="13.5" customHeight="1">
      <c r="A31" s="260"/>
      <c r="B31" s="260"/>
      <c r="C31" s="619" t="s">
        <v>358</v>
      </c>
      <c r="D31" s="338" t="s">
        <v>359</v>
      </c>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338"/>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532"/>
      <c r="B33" s="532"/>
      <c r="C33" s="548" t="s">
        <v>265</v>
      </c>
      <c r="D33" s="532"/>
      <c r="E33" s="532"/>
      <c r="F33" s="532"/>
      <c r="G33" s="532"/>
      <c r="H33" s="532"/>
      <c r="I33" s="532"/>
      <c r="J33" s="532"/>
      <c r="K33" s="532"/>
      <c r="L33" s="532"/>
      <c r="M33" s="532"/>
      <c r="N33" s="534" t="s">
        <v>163</v>
      </c>
      <c r="O33" s="535"/>
      <c r="P33" s="535"/>
      <c r="Q33" s="535"/>
      <c r="R33" s="536"/>
      <c r="S33" s="536"/>
      <c r="T33" s="532"/>
      <c r="U33" s="532"/>
      <c r="V33" s="532"/>
      <c r="W33" s="532"/>
      <c r="X33" s="532"/>
      <c r="Y33" s="532"/>
      <c r="Z33" s="532"/>
    </row>
    <row r="34" ht="13.5" customHeight="1">
      <c r="A34" s="260"/>
      <c r="B34" s="260"/>
      <c r="C34" s="537" t="s">
        <v>192</v>
      </c>
      <c r="D34" s="538">
        <v>1.0</v>
      </c>
      <c r="E34" s="538">
        <v>1.0</v>
      </c>
      <c r="F34" s="538">
        <v>1.0</v>
      </c>
      <c r="G34" s="538">
        <v>1.0</v>
      </c>
      <c r="H34" s="538">
        <v>1.0</v>
      </c>
      <c r="I34" s="538">
        <v>1.0</v>
      </c>
      <c r="J34" s="538">
        <v>1.0</v>
      </c>
      <c r="K34" s="538">
        <v>1.0</v>
      </c>
      <c r="L34" s="538">
        <v>1.0</v>
      </c>
      <c r="M34" s="538">
        <v>1.0</v>
      </c>
      <c r="N34" s="538">
        <f t="shared" ref="N34:N37" si="13">AVERAGE(D34:M34)</f>
        <v>1</v>
      </c>
      <c r="O34" s="539"/>
      <c r="P34" s="540"/>
      <c r="T34" s="260"/>
      <c r="U34" s="260"/>
      <c r="V34" s="260"/>
      <c r="W34" s="260"/>
      <c r="X34" s="260"/>
      <c r="Y34" s="260"/>
      <c r="Z34" s="260"/>
    </row>
    <row r="35" ht="13.5" customHeight="1">
      <c r="A35" s="260"/>
      <c r="B35" s="260"/>
      <c r="C35" s="537" t="s">
        <v>193</v>
      </c>
      <c r="D35" s="541">
        <f t="shared" ref="D35:L35" si="12">D11/D16</f>
        <v>181.9366667</v>
      </c>
      <c r="E35" s="541">
        <f t="shared" si="12"/>
        <v>421.99</v>
      </c>
      <c r="F35" s="541">
        <f t="shared" si="12"/>
        <v>197.185</v>
      </c>
      <c r="G35" s="541">
        <f t="shared" si="12"/>
        <v>184.2666667</v>
      </c>
      <c r="H35" s="541">
        <f t="shared" si="12"/>
        <v>422.49</v>
      </c>
      <c r="I35" s="541">
        <f t="shared" si="12"/>
        <v>197.185</v>
      </c>
      <c r="J35" s="541">
        <f t="shared" si="12"/>
        <v>129.5825</v>
      </c>
      <c r="K35" s="541">
        <f t="shared" si="12"/>
        <v>265.45</v>
      </c>
      <c r="L35" s="541">
        <f t="shared" si="12"/>
        <v>251.0875</v>
      </c>
      <c r="M35" s="500" t="str">
        <f>M20/M24</f>
        <v>#VALUE!</v>
      </c>
      <c r="N35" s="500" t="str">
        <f t="shared" si="13"/>
        <v>#VALUE!</v>
      </c>
      <c r="O35" s="539"/>
      <c r="P35" s="542"/>
      <c r="Q35" s="540"/>
      <c r="R35" s="540"/>
      <c r="S35" s="540"/>
      <c r="T35" s="260"/>
      <c r="U35" s="260"/>
      <c r="V35" s="260"/>
      <c r="W35" s="260"/>
      <c r="X35" s="260"/>
      <c r="Y35" s="260"/>
      <c r="Z35" s="260"/>
    </row>
    <row r="36" ht="13.5" customHeight="1">
      <c r="A36" s="260"/>
      <c r="B36" s="260"/>
      <c r="C36" s="537" t="s">
        <v>194</v>
      </c>
      <c r="D36" s="500">
        <f t="shared" ref="D36:M36" si="14">D35*D34</f>
        <v>181.9366667</v>
      </c>
      <c r="E36" s="500">
        <f t="shared" si="14"/>
        <v>421.99</v>
      </c>
      <c r="F36" s="500">
        <f t="shared" si="14"/>
        <v>197.185</v>
      </c>
      <c r="G36" s="500">
        <f t="shared" si="14"/>
        <v>184.2666667</v>
      </c>
      <c r="H36" s="500">
        <f t="shared" si="14"/>
        <v>422.49</v>
      </c>
      <c r="I36" s="500">
        <f t="shared" si="14"/>
        <v>197.185</v>
      </c>
      <c r="J36" s="500">
        <f t="shared" si="14"/>
        <v>129.5825</v>
      </c>
      <c r="K36" s="500">
        <f t="shared" si="14"/>
        <v>265.45</v>
      </c>
      <c r="L36" s="500">
        <f t="shared" si="14"/>
        <v>251.0875</v>
      </c>
      <c r="M36" s="500" t="str">
        <f t="shared" si="14"/>
        <v>#VALUE!</v>
      </c>
      <c r="N36" s="500" t="str">
        <f t="shared" si="13"/>
        <v>#VALUE!</v>
      </c>
      <c r="O36" s="539"/>
      <c r="P36" s="542"/>
      <c r="Q36" s="540"/>
      <c r="R36" s="540"/>
      <c r="S36" s="540"/>
      <c r="T36" s="260"/>
      <c r="U36" s="260"/>
      <c r="V36" s="260"/>
      <c r="W36" s="260"/>
      <c r="X36" s="260"/>
      <c r="Y36" s="260"/>
      <c r="Z36" s="260"/>
    </row>
    <row r="37" ht="13.5" customHeight="1">
      <c r="A37" s="260"/>
      <c r="B37" s="260"/>
      <c r="C37" s="537" t="s">
        <v>195</v>
      </c>
      <c r="D37" s="500">
        <f t="shared" ref="D37:M37" si="15">D36*(1+0.05)</f>
        <v>191.0335</v>
      </c>
      <c r="E37" s="500">
        <f t="shared" si="15"/>
        <v>443.0895</v>
      </c>
      <c r="F37" s="500">
        <f t="shared" si="15"/>
        <v>207.04425</v>
      </c>
      <c r="G37" s="500">
        <f t="shared" si="15"/>
        <v>193.48</v>
      </c>
      <c r="H37" s="500">
        <f t="shared" si="15"/>
        <v>443.6145</v>
      </c>
      <c r="I37" s="500">
        <f t="shared" si="15"/>
        <v>207.04425</v>
      </c>
      <c r="J37" s="500">
        <f t="shared" si="15"/>
        <v>136.061625</v>
      </c>
      <c r="K37" s="500">
        <f t="shared" si="15"/>
        <v>278.7225</v>
      </c>
      <c r="L37" s="500">
        <f t="shared" si="15"/>
        <v>263.641875</v>
      </c>
      <c r="M37" s="500" t="str">
        <f t="shared" si="15"/>
        <v>#VALUE!</v>
      </c>
      <c r="N37" s="500" t="str">
        <f t="shared" si="13"/>
        <v>#VALUE!</v>
      </c>
      <c r="O37" s="543"/>
      <c r="P37" s="543"/>
      <c r="Q37" s="543"/>
      <c r="R37" s="543"/>
      <c r="S37" s="539"/>
      <c r="T37" s="260"/>
      <c r="U37" s="260"/>
      <c r="V37" s="260"/>
      <c r="W37" s="260"/>
      <c r="X37" s="260"/>
      <c r="Y37" s="260"/>
      <c r="Z37" s="260"/>
    </row>
    <row r="38" ht="13.5" customHeight="1">
      <c r="A38" s="260"/>
      <c r="B38" s="260"/>
      <c r="C38" s="544" t="s">
        <v>196</v>
      </c>
      <c r="D38" s="500"/>
      <c r="E38" s="500"/>
      <c r="F38" s="500"/>
      <c r="G38" s="500"/>
      <c r="H38" s="500"/>
      <c r="I38" s="500"/>
      <c r="J38" s="500"/>
      <c r="K38" s="500"/>
      <c r="L38" s="500"/>
      <c r="M38" s="500"/>
      <c r="N38" s="545" t="str">
        <f>3600/N37</f>
        <v>#VALUE!</v>
      </c>
      <c r="O38" s="547"/>
      <c r="Q38" s="547"/>
      <c r="R38" s="547"/>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3.5"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3.5"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3.5"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3.5"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3.5"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3.5"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H4:J5"/>
    <mergeCell ref="K4:N5"/>
    <mergeCell ref="P24:S24"/>
    <mergeCell ref="O28:P28"/>
    <mergeCell ref="O29:P29"/>
    <mergeCell ref="P34:S34"/>
    <mergeCell ref="O38:P38"/>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15.71"/>
    <col customWidth="1" min="5" max="6" width="16.57"/>
    <col customWidth="1" min="7" max="7" width="15.57"/>
    <col customWidth="1" min="8" max="8" width="16.71"/>
    <col customWidth="1" min="9" max="9" width="17.0"/>
    <col customWidth="1" min="10" max="10" width="14.71"/>
    <col customWidth="1" min="11" max="12" width="15.71"/>
    <col customWidth="1" min="13" max="13" width="17.29"/>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410</v>
      </c>
      <c r="C4" s="468"/>
      <c r="D4" s="469"/>
      <c r="E4" s="470" t="s">
        <v>267</v>
      </c>
      <c r="F4" s="468"/>
      <c r="G4" s="469"/>
      <c r="H4" s="471" t="s">
        <v>332</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03"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494"/>
      <c r="S8" s="495"/>
      <c r="T8" s="496"/>
      <c r="U8" s="260"/>
      <c r="V8" s="260"/>
      <c r="W8" s="260"/>
      <c r="X8" s="260"/>
      <c r="Y8" s="260"/>
      <c r="Z8" s="260"/>
    </row>
    <row r="9" ht="13.5" customHeight="1">
      <c r="A9" s="497"/>
      <c r="B9" s="498">
        <v>1.0</v>
      </c>
      <c r="C9" s="499" t="s">
        <v>411</v>
      </c>
      <c r="D9" s="500">
        <v>69.0</v>
      </c>
      <c r="E9" s="500">
        <v>60.06</v>
      </c>
      <c r="F9" s="500">
        <v>113.09</v>
      </c>
      <c r="G9" s="500">
        <v>54.0</v>
      </c>
      <c r="H9" s="500">
        <v>25.29</v>
      </c>
      <c r="I9" s="500">
        <v>30.44</v>
      </c>
      <c r="J9" s="500">
        <v>78.33</v>
      </c>
      <c r="K9" s="500">
        <v>24.79</v>
      </c>
      <c r="L9" s="500">
        <v>27.0</v>
      </c>
      <c r="M9" s="500">
        <v>45.12</v>
      </c>
      <c r="N9" s="501">
        <f t="shared" ref="N9:N10" si="2">SUM(D9:M9)</f>
        <v>527.12</v>
      </c>
      <c r="O9" s="485"/>
      <c r="P9" s="607">
        <f>AVERAGE(D9:M9)</f>
        <v>52.712</v>
      </c>
      <c r="Q9" s="608">
        <f>MAX(D9:M9)</f>
        <v>113.09</v>
      </c>
      <c r="R9" s="609">
        <f>P9/$P$10</f>
        <v>1</v>
      </c>
      <c r="S9" s="610"/>
      <c r="T9" s="611"/>
      <c r="U9" s="497"/>
      <c r="V9" s="497"/>
      <c r="W9" s="497"/>
      <c r="X9" s="497"/>
      <c r="Y9" s="497"/>
      <c r="Z9" s="497"/>
    </row>
    <row r="10" ht="13.5" customHeight="1">
      <c r="A10" s="260"/>
      <c r="B10" s="507"/>
      <c r="C10" s="508" t="s">
        <v>180</v>
      </c>
      <c r="D10" s="613">
        <f t="shared" ref="D10:M10" si="1">SUM(D9)</f>
        <v>69</v>
      </c>
      <c r="E10" s="613">
        <f t="shared" si="1"/>
        <v>60.06</v>
      </c>
      <c r="F10" s="613">
        <f t="shared" si="1"/>
        <v>113.09</v>
      </c>
      <c r="G10" s="613">
        <f t="shared" si="1"/>
        <v>54</v>
      </c>
      <c r="H10" s="613">
        <f t="shared" si="1"/>
        <v>25.29</v>
      </c>
      <c r="I10" s="613">
        <f t="shared" si="1"/>
        <v>30.44</v>
      </c>
      <c r="J10" s="613">
        <f t="shared" si="1"/>
        <v>78.33</v>
      </c>
      <c r="K10" s="613">
        <f t="shared" si="1"/>
        <v>24.79</v>
      </c>
      <c r="L10" s="613">
        <f t="shared" si="1"/>
        <v>27</v>
      </c>
      <c r="M10" s="613">
        <f t="shared" si="1"/>
        <v>45.12</v>
      </c>
      <c r="N10" s="510">
        <f t="shared" si="2"/>
        <v>527.12</v>
      </c>
      <c r="O10" s="479" t="s">
        <v>10</v>
      </c>
      <c r="P10" s="614">
        <f t="shared" ref="P10:Q10" si="3">SUM(P9)</f>
        <v>52.712</v>
      </c>
      <c r="Q10" s="615">
        <f t="shared" si="3"/>
        <v>113.09</v>
      </c>
      <c r="R10" s="616"/>
      <c r="S10" s="260"/>
      <c r="T10" s="260"/>
      <c r="U10" s="260"/>
      <c r="V10" s="260"/>
      <c r="W10" s="260"/>
      <c r="X10" s="260"/>
      <c r="Y10" s="260"/>
      <c r="Z10" s="260"/>
    </row>
    <row r="11" ht="13.5" customHeight="1">
      <c r="A11" s="260"/>
      <c r="B11" s="260"/>
      <c r="C11" s="514"/>
      <c r="D11" s="515"/>
      <c r="E11" s="515"/>
      <c r="F11" s="515"/>
      <c r="G11" s="515"/>
      <c r="H11" s="515"/>
      <c r="I11" s="515"/>
      <c r="J11" s="515"/>
      <c r="K11" s="515"/>
      <c r="L11" s="515"/>
      <c r="M11" s="515"/>
      <c r="N11" s="516">
        <f>N10/60</f>
        <v>8.785333333</v>
      </c>
      <c r="O11" s="479"/>
      <c r="P11" s="515"/>
      <c r="Q11" s="515"/>
      <c r="R11" s="479"/>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7" t="s">
        <v>182</v>
      </c>
      <c r="O12" s="479"/>
      <c r="P12" s="515"/>
      <c r="Q12" s="515"/>
      <c r="R12" s="479"/>
      <c r="S12" s="260"/>
      <c r="T12" s="260"/>
      <c r="U12" s="260"/>
      <c r="V12" s="260"/>
      <c r="W12" s="260"/>
      <c r="X12" s="260"/>
      <c r="Y12" s="260"/>
      <c r="Z12" s="260"/>
    </row>
    <row r="13" ht="13.5" customHeight="1">
      <c r="A13" s="260"/>
      <c r="B13" s="260"/>
      <c r="C13" s="518" t="s">
        <v>238</v>
      </c>
      <c r="D13" s="519">
        <v>6.56070521786384E14</v>
      </c>
      <c r="E13" s="519">
        <v>6.52028279609242E14</v>
      </c>
      <c r="F13" s="519">
        <v>6.51965462951374E14</v>
      </c>
      <c r="G13" s="519">
        <v>6.56120989145987E14</v>
      </c>
      <c r="H13" s="519">
        <v>6.56266105410678E14</v>
      </c>
      <c r="I13" s="519">
        <v>6.56236151993919E15</v>
      </c>
      <c r="J13" s="519">
        <v>6.52173010754653E14</v>
      </c>
      <c r="K13" s="519">
        <v>6.56729378360414E14</v>
      </c>
      <c r="L13" s="519">
        <v>6.52649633251405E14</v>
      </c>
      <c r="M13" s="519">
        <v>6.56569150736047E14</v>
      </c>
      <c r="N13" s="520"/>
      <c r="O13" s="479"/>
      <c r="P13" s="479"/>
      <c r="Q13" s="521"/>
      <c r="R13" s="260"/>
      <c r="S13" s="260"/>
      <c r="T13" s="260"/>
      <c r="U13" s="260"/>
      <c r="V13" s="260"/>
      <c r="W13" s="260"/>
      <c r="X13" s="260"/>
      <c r="Y13" s="260"/>
      <c r="Z13" s="260"/>
    </row>
    <row r="14" ht="13.5" customHeight="1">
      <c r="A14" s="260"/>
      <c r="B14" s="260"/>
      <c r="C14" s="518" t="s">
        <v>412</v>
      </c>
      <c r="D14" s="522">
        <v>11.0</v>
      </c>
      <c r="E14" s="522">
        <v>8.0</v>
      </c>
      <c r="F14" s="522">
        <v>28.0</v>
      </c>
      <c r="G14" s="522">
        <v>11.0</v>
      </c>
      <c r="H14" s="522">
        <v>5.0</v>
      </c>
      <c r="I14" s="523">
        <v>6.0</v>
      </c>
      <c r="J14" s="523">
        <v>13.0</v>
      </c>
      <c r="K14" s="523">
        <v>7.0</v>
      </c>
      <c r="L14" s="523">
        <v>10.0</v>
      </c>
      <c r="M14" s="523">
        <v>9.0</v>
      </c>
      <c r="N14" s="520"/>
      <c r="O14" s="479"/>
      <c r="P14" s="479"/>
      <c r="Q14" s="521"/>
      <c r="R14" s="260"/>
      <c r="S14" s="260"/>
      <c r="T14" s="260"/>
      <c r="U14" s="260"/>
      <c r="V14" s="260"/>
      <c r="W14" s="260"/>
      <c r="X14" s="260"/>
      <c r="Y14" s="260"/>
      <c r="Z14" s="260"/>
    </row>
    <row r="15" ht="13.5" customHeight="1">
      <c r="A15" s="260"/>
      <c r="B15" s="260"/>
      <c r="C15" s="518" t="s">
        <v>272</v>
      </c>
      <c r="D15" s="522" t="s">
        <v>273</v>
      </c>
      <c r="E15" s="522" t="s">
        <v>274</v>
      </c>
      <c r="F15" s="522" t="s">
        <v>274</v>
      </c>
      <c r="G15" s="522" t="s">
        <v>274</v>
      </c>
      <c r="H15" s="522" t="s">
        <v>274</v>
      </c>
      <c r="I15" s="523" t="s">
        <v>274</v>
      </c>
      <c r="J15" s="523"/>
      <c r="K15" s="523" t="s">
        <v>274</v>
      </c>
      <c r="L15" s="523" t="s">
        <v>274</v>
      </c>
      <c r="M15" s="523" t="s">
        <v>274</v>
      </c>
      <c r="N15" s="520"/>
      <c r="O15" s="479"/>
      <c r="P15" s="479"/>
      <c r="Q15" s="521"/>
      <c r="R15" s="260"/>
      <c r="S15" s="260"/>
      <c r="T15" s="260"/>
      <c r="U15" s="260"/>
      <c r="V15" s="260"/>
      <c r="W15" s="260"/>
      <c r="X15" s="260"/>
      <c r="Y15" s="260"/>
      <c r="Z15" s="260"/>
    </row>
    <row r="16" ht="13.5" customHeight="1">
      <c r="A16" s="260"/>
      <c r="B16" s="260"/>
      <c r="C16" s="518" t="s">
        <v>187</v>
      </c>
      <c r="D16" s="522" t="s">
        <v>242</v>
      </c>
      <c r="E16" s="522" t="s">
        <v>242</v>
      </c>
      <c r="F16" s="522" t="s">
        <v>242</v>
      </c>
      <c r="G16" s="522" t="s">
        <v>242</v>
      </c>
      <c r="H16" s="522" t="s">
        <v>242</v>
      </c>
      <c r="I16" s="522" t="s">
        <v>242</v>
      </c>
      <c r="J16" s="522" t="s">
        <v>242</v>
      </c>
      <c r="K16" s="522" t="s">
        <v>242</v>
      </c>
      <c r="L16" s="522" t="s">
        <v>242</v>
      </c>
      <c r="M16" s="522" t="s">
        <v>242</v>
      </c>
      <c r="N16" s="520"/>
      <c r="O16" s="479"/>
      <c r="P16" s="479"/>
      <c r="Q16" s="521"/>
      <c r="R16" s="260"/>
      <c r="S16" s="260"/>
      <c r="T16" s="260"/>
      <c r="U16" s="260"/>
      <c r="V16" s="260"/>
      <c r="W16" s="260"/>
      <c r="X16" s="260"/>
      <c r="Y16" s="260"/>
      <c r="Z16" s="260"/>
    </row>
    <row r="17" ht="13.5" customHeight="1">
      <c r="A17" s="260"/>
      <c r="B17" s="260"/>
      <c r="C17" s="518" t="s">
        <v>243</v>
      </c>
      <c r="D17" s="522" t="s">
        <v>246</v>
      </c>
      <c r="E17" s="522" t="s">
        <v>246</v>
      </c>
      <c r="F17" s="522" t="s">
        <v>246</v>
      </c>
      <c r="G17" s="522" t="s">
        <v>246</v>
      </c>
      <c r="H17" s="522" t="s">
        <v>246</v>
      </c>
      <c r="I17" s="522" t="s">
        <v>246</v>
      </c>
      <c r="J17" s="522" t="s">
        <v>246</v>
      </c>
      <c r="K17" s="522" t="s">
        <v>246</v>
      </c>
      <c r="L17" s="522" t="s">
        <v>246</v>
      </c>
      <c r="M17" s="522" t="s">
        <v>246</v>
      </c>
      <c r="N17" s="520"/>
      <c r="O17" s="479"/>
      <c r="P17" s="479"/>
      <c r="Q17" s="521"/>
      <c r="R17" s="260"/>
      <c r="S17" s="260"/>
      <c r="T17" s="260"/>
      <c r="U17" s="260"/>
      <c r="V17" s="260"/>
      <c r="W17" s="260"/>
      <c r="X17" s="260"/>
      <c r="Y17" s="260"/>
      <c r="Z17" s="260"/>
    </row>
    <row r="18" ht="13.5" customHeight="1">
      <c r="A18" s="260"/>
      <c r="B18" s="260"/>
      <c r="C18" s="518" t="s">
        <v>249</v>
      </c>
      <c r="D18" s="526"/>
      <c r="E18" s="525" t="s">
        <v>413</v>
      </c>
      <c r="F18" s="522"/>
      <c r="G18" s="522"/>
      <c r="H18" s="522"/>
      <c r="I18" s="526"/>
      <c r="J18" s="531"/>
      <c r="K18" s="526"/>
      <c r="L18" s="531"/>
      <c r="M18" s="525" t="s">
        <v>414</v>
      </c>
      <c r="N18" s="520"/>
      <c r="O18" s="479"/>
      <c r="P18" s="479"/>
      <c r="Q18" s="521"/>
      <c r="R18" s="260"/>
      <c r="S18" s="260"/>
      <c r="T18" s="260"/>
      <c r="U18" s="260"/>
      <c r="V18" s="260"/>
      <c r="W18" s="260"/>
      <c r="X18" s="260"/>
      <c r="Y18" s="260"/>
      <c r="Z18" s="260"/>
    </row>
    <row r="19" ht="13.5" customHeight="1">
      <c r="A19" s="260"/>
      <c r="B19" s="260"/>
      <c r="C19" s="514"/>
      <c r="D19" s="479"/>
      <c r="E19" s="479"/>
      <c r="F19" s="479"/>
      <c r="G19" s="479"/>
      <c r="H19" s="479"/>
      <c r="I19" s="479"/>
      <c r="J19" s="479"/>
      <c r="K19" s="479"/>
      <c r="L19" s="479"/>
      <c r="M19" s="479"/>
      <c r="N19" s="520"/>
      <c r="O19" s="479"/>
      <c r="P19" s="479"/>
      <c r="Q19" s="521"/>
      <c r="R19" s="260"/>
      <c r="S19" s="260"/>
      <c r="T19" s="260"/>
      <c r="U19" s="260"/>
      <c r="V19" s="260"/>
      <c r="W19" s="260"/>
      <c r="X19" s="260"/>
      <c r="Y19" s="260"/>
      <c r="Z19" s="260"/>
    </row>
    <row r="20" ht="13.5" customHeight="1">
      <c r="A20" s="532"/>
      <c r="B20" s="532"/>
      <c r="C20" s="548" t="s">
        <v>415</v>
      </c>
      <c r="D20" s="532"/>
      <c r="E20" s="532"/>
      <c r="F20" s="532"/>
      <c r="G20" s="532"/>
      <c r="H20" s="532"/>
      <c r="I20" s="532"/>
      <c r="J20" s="532"/>
      <c r="K20" s="532"/>
      <c r="L20" s="532"/>
      <c r="M20" s="532"/>
      <c r="N20" s="534" t="s">
        <v>163</v>
      </c>
      <c r="O20" s="535"/>
      <c r="P20" s="535"/>
      <c r="Q20" s="535"/>
      <c r="R20" s="536"/>
      <c r="S20" s="536"/>
      <c r="T20" s="532"/>
      <c r="U20" s="532"/>
      <c r="V20" s="532"/>
      <c r="W20" s="532"/>
      <c r="X20" s="532"/>
      <c r="Y20" s="532"/>
      <c r="Z20" s="532"/>
    </row>
    <row r="21" ht="13.5" customHeight="1">
      <c r="A21" s="260"/>
      <c r="B21" s="260"/>
      <c r="C21" s="537" t="s">
        <v>192</v>
      </c>
      <c r="D21" s="538">
        <v>1.0</v>
      </c>
      <c r="E21" s="538">
        <v>1.0</v>
      </c>
      <c r="F21" s="538">
        <v>1.0</v>
      </c>
      <c r="G21" s="538">
        <v>1.0</v>
      </c>
      <c r="H21" s="538">
        <v>1.0</v>
      </c>
      <c r="I21" s="538">
        <v>1.0</v>
      </c>
      <c r="J21" s="538">
        <v>1.0</v>
      </c>
      <c r="K21" s="538">
        <v>1.0</v>
      </c>
      <c r="L21" s="538">
        <v>1.0</v>
      </c>
      <c r="M21" s="538">
        <v>1.0</v>
      </c>
      <c r="N21" s="538">
        <f t="shared" ref="N21:N24" si="5">AVERAGE(D21:M21)</f>
        <v>1</v>
      </c>
      <c r="O21" s="539"/>
      <c r="P21" s="540"/>
      <c r="T21" s="260"/>
      <c r="U21" s="260"/>
      <c r="V21" s="260"/>
      <c r="W21" s="260"/>
      <c r="X21" s="260"/>
      <c r="Y21" s="260"/>
      <c r="Z21" s="260"/>
    </row>
    <row r="22" ht="13.5" customHeight="1">
      <c r="A22" s="260"/>
      <c r="B22" s="260"/>
      <c r="C22" s="537" t="s">
        <v>193</v>
      </c>
      <c r="D22" s="541">
        <f t="shared" ref="D22:M22" si="4">D10/D14</f>
        <v>6.272727273</v>
      </c>
      <c r="E22" s="541">
        <f t="shared" si="4"/>
        <v>7.5075</v>
      </c>
      <c r="F22" s="541">
        <f t="shared" si="4"/>
        <v>4.038928571</v>
      </c>
      <c r="G22" s="541">
        <f t="shared" si="4"/>
        <v>4.909090909</v>
      </c>
      <c r="H22" s="541">
        <f t="shared" si="4"/>
        <v>5.058</v>
      </c>
      <c r="I22" s="541">
        <f t="shared" si="4"/>
        <v>5.073333333</v>
      </c>
      <c r="J22" s="541">
        <f t="shared" si="4"/>
        <v>6.025384615</v>
      </c>
      <c r="K22" s="541">
        <f t="shared" si="4"/>
        <v>3.541428571</v>
      </c>
      <c r="L22" s="541">
        <f t="shared" si="4"/>
        <v>2.7</v>
      </c>
      <c r="M22" s="541">
        <f t="shared" si="4"/>
        <v>5.013333333</v>
      </c>
      <c r="N22" s="500">
        <f t="shared" si="5"/>
        <v>5.013972661</v>
      </c>
      <c r="O22" s="539"/>
      <c r="P22" s="542"/>
      <c r="Q22" s="540"/>
      <c r="R22" s="540"/>
      <c r="S22" s="540"/>
      <c r="T22" s="260"/>
      <c r="U22" s="260"/>
      <c r="V22" s="260"/>
      <c r="W22" s="260"/>
      <c r="X22" s="260"/>
      <c r="Y22" s="260"/>
      <c r="Z22" s="260"/>
    </row>
    <row r="23" ht="13.5" customHeight="1">
      <c r="A23" s="260"/>
      <c r="B23" s="260"/>
      <c r="C23" s="537" t="s">
        <v>194</v>
      </c>
      <c r="D23" s="500">
        <f t="shared" ref="D23:M23" si="6">D22*D21</f>
        <v>6.272727273</v>
      </c>
      <c r="E23" s="500">
        <f t="shared" si="6"/>
        <v>7.5075</v>
      </c>
      <c r="F23" s="500">
        <f t="shared" si="6"/>
        <v>4.038928571</v>
      </c>
      <c r="G23" s="500">
        <f t="shared" si="6"/>
        <v>4.909090909</v>
      </c>
      <c r="H23" s="500">
        <f t="shared" si="6"/>
        <v>5.058</v>
      </c>
      <c r="I23" s="500">
        <f t="shared" si="6"/>
        <v>5.073333333</v>
      </c>
      <c r="J23" s="500">
        <f t="shared" si="6"/>
        <v>6.025384615</v>
      </c>
      <c r="K23" s="500">
        <f t="shared" si="6"/>
        <v>3.541428571</v>
      </c>
      <c r="L23" s="500">
        <f t="shared" si="6"/>
        <v>2.7</v>
      </c>
      <c r="M23" s="500">
        <f t="shared" si="6"/>
        <v>5.013333333</v>
      </c>
      <c r="N23" s="500">
        <f t="shared" si="5"/>
        <v>5.013972661</v>
      </c>
      <c r="O23" s="539"/>
      <c r="P23" s="542"/>
      <c r="Q23" s="540"/>
      <c r="R23" s="540"/>
      <c r="S23" s="540"/>
      <c r="T23" s="260"/>
      <c r="U23" s="260"/>
      <c r="V23" s="260"/>
      <c r="W23" s="260"/>
      <c r="X23" s="260"/>
      <c r="Y23" s="260"/>
      <c r="Z23" s="260"/>
    </row>
    <row r="24" ht="13.5" customHeight="1">
      <c r="A24" s="260"/>
      <c r="B24" s="260"/>
      <c r="C24" s="537" t="s">
        <v>195</v>
      </c>
      <c r="D24" s="500">
        <f t="shared" ref="D24:M24" si="7">D23*(1+0.05)</f>
        <v>6.586363636</v>
      </c>
      <c r="E24" s="500">
        <f t="shared" si="7"/>
        <v>7.882875</v>
      </c>
      <c r="F24" s="500">
        <f t="shared" si="7"/>
        <v>4.240875</v>
      </c>
      <c r="G24" s="500">
        <f t="shared" si="7"/>
        <v>5.154545455</v>
      </c>
      <c r="H24" s="500">
        <f t="shared" si="7"/>
        <v>5.3109</v>
      </c>
      <c r="I24" s="500">
        <f t="shared" si="7"/>
        <v>5.327</v>
      </c>
      <c r="J24" s="500">
        <f t="shared" si="7"/>
        <v>6.326653846</v>
      </c>
      <c r="K24" s="500">
        <f t="shared" si="7"/>
        <v>3.7185</v>
      </c>
      <c r="L24" s="500">
        <f t="shared" si="7"/>
        <v>2.835</v>
      </c>
      <c r="M24" s="500">
        <f t="shared" si="7"/>
        <v>5.264</v>
      </c>
      <c r="N24" s="500">
        <f t="shared" si="5"/>
        <v>5.264671294</v>
      </c>
      <c r="O24" s="543"/>
      <c r="P24" s="543"/>
      <c r="Q24" s="543"/>
      <c r="R24" s="543"/>
      <c r="S24" s="539"/>
      <c r="T24" s="260"/>
      <c r="U24" s="260"/>
      <c r="V24" s="260"/>
      <c r="W24" s="260"/>
      <c r="X24" s="260"/>
      <c r="Y24" s="260"/>
      <c r="Z24" s="260"/>
    </row>
    <row r="25" ht="13.5" customHeight="1">
      <c r="A25" s="260"/>
      <c r="B25" s="260"/>
      <c r="C25" s="544" t="s">
        <v>196</v>
      </c>
      <c r="D25" s="500"/>
      <c r="E25" s="500"/>
      <c r="F25" s="500"/>
      <c r="G25" s="500"/>
      <c r="H25" s="500"/>
      <c r="I25" s="500"/>
      <c r="J25" s="500"/>
      <c r="K25" s="500"/>
      <c r="L25" s="500"/>
      <c r="M25" s="500"/>
      <c r="N25" s="545">
        <f>3600/N24</f>
        <v>683.8033752</v>
      </c>
      <c r="O25" s="547"/>
      <c r="Q25" s="547"/>
      <c r="R25" s="547"/>
      <c r="S25" s="260"/>
      <c r="T25" s="260"/>
      <c r="U25" s="260"/>
      <c r="V25" s="260"/>
      <c r="W25" s="260"/>
      <c r="X25" s="260"/>
      <c r="Y25" s="260"/>
      <c r="Z25" s="260"/>
    </row>
    <row r="26" ht="13.5" customHeight="1">
      <c r="A26" s="260"/>
      <c r="B26" s="260"/>
      <c r="C26" s="260"/>
      <c r="D26" s="260"/>
      <c r="E26" s="260"/>
      <c r="F26" s="260"/>
      <c r="G26" s="260"/>
      <c r="H26" s="260"/>
      <c r="I26" s="260"/>
      <c r="J26" s="260"/>
      <c r="K26" s="260"/>
      <c r="L26" s="260"/>
      <c r="M26" s="260"/>
      <c r="N26" s="260"/>
      <c r="O26" s="547"/>
      <c r="Q26" s="547"/>
      <c r="R26" s="547"/>
      <c r="S26" s="260"/>
      <c r="T26" s="260"/>
      <c r="U26" s="260"/>
      <c r="V26" s="260"/>
      <c r="W26" s="260"/>
      <c r="X26" s="260"/>
      <c r="Y26" s="260"/>
      <c r="Z26" s="260"/>
    </row>
    <row r="27" ht="13.5" customHeight="1">
      <c r="A27" s="260"/>
      <c r="B27" s="260"/>
      <c r="C27" s="619" t="s">
        <v>357</v>
      </c>
      <c r="D27" s="521">
        <v>0.05</v>
      </c>
      <c r="E27" s="260"/>
      <c r="F27" s="260"/>
      <c r="G27" s="260"/>
      <c r="H27" s="260"/>
      <c r="I27" s="260"/>
      <c r="J27" s="260"/>
      <c r="K27" s="260"/>
      <c r="L27" s="260"/>
      <c r="M27" s="260"/>
      <c r="N27" s="260"/>
      <c r="O27" s="617"/>
      <c r="P27" s="617"/>
      <c r="Q27" s="617"/>
      <c r="R27" s="617"/>
      <c r="S27" s="260"/>
      <c r="T27" s="260"/>
      <c r="U27" s="260"/>
      <c r="V27" s="260"/>
      <c r="W27" s="260"/>
      <c r="X27" s="260"/>
      <c r="Y27" s="260"/>
      <c r="Z27" s="260"/>
    </row>
    <row r="28" ht="13.5" customHeight="1">
      <c r="A28" s="260"/>
      <c r="B28" s="260"/>
      <c r="C28" s="619" t="s">
        <v>358</v>
      </c>
      <c r="D28" s="338" t="s">
        <v>359</v>
      </c>
      <c r="E28" s="260"/>
      <c r="F28" s="260"/>
      <c r="G28" s="260"/>
      <c r="H28" s="260"/>
      <c r="I28" s="260"/>
      <c r="J28" s="260"/>
      <c r="K28" s="260"/>
      <c r="L28" s="260"/>
      <c r="M28" s="260"/>
      <c r="N28" s="260"/>
      <c r="O28" s="260"/>
      <c r="P28" s="260"/>
      <c r="Q28" s="260"/>
      <c r="R28" s="260"/>
      <c r="S28" s="260"/>
      <c r="T28" s="260"/>
      <c r="U28" s="260"/>
      <c r="V28" s="260"/>
      <c r="W28" s="260"/>
      <c r="X28" s="260"/>
      <c r="Y28" s="260"/>
      <c r="Z28" s="260"/>
    </row>
    <row r="29" ht="13.5" customHeight="1">
      <c r="A29" s="260"/>
      <c r="B29" s="260"/>
      <c r="C29" s="260"/>
      <c r="D29" s="338"/>
      <c r="E29" s="260"/>
      <c r="F29" s="260"/>
      <c r="G29" s="260"/>
      <c r="H29" s="260"/>
      <c r="I29" s="260"/>
      <c r="J29" s="260"/>
      <c r="K29" s="260"/>
      <c r="L29" s="260"/>
      <c r="M29" s="260"/>
      <c r="N29" s="260"/>
      <c r="O29" s="260"/>
      <c r="P29" s="260"/>
      <c r="Q29" s="260"/>
      <c r="R29" s="260"/>
      <c r="S29" s="260"/>
      <c r="T29" s="260"/>
      <c r="U29" s="260"/>
      <c r="V29" s="260"/>
      <c r="W29" s="260"/>
      <c r="X29" s="260"/>
      <c r="Y29" s="260"/>
      <c r="Z29" s="260"/>
    </row>
    <row r="30" ht="13.5" customHeight="1">
      <c r="A30" s="260"/>
      <c r="B30" s="260"/>
      <c r="C30" s="260"/>
      <c r="D30" s="260"/>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260"/>
      <c r="D31" s="260"/>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P21:S21"/>
    <mergeCell ref="O25:P25"/>
    <mergeCell ref="O26:P26"/>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4" width="21.71"/>
    <col customWidth="1" min="5" max="5" width="20.0"/>
    <col customWidth="1" min="6" max="6" width="18.71"/>
    <col customWidth="1" min="7" max="7" width="21.29"/>
    <col customWidth="1" min="8" max="8" width="20.57"/>
    <col customWidth="1" min="9" max="9" width="15.43"/>
    <col customWidth="1" min="10" max="10" width="16.86"/>
    <col customWidth="1" min="11" max="11" width="17.71"/>
    <col customWidth="1" min="12" max="12" width="14.29"/>
    <col customWidth="1" min="13" max="13" width="15.29"/>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410</v>
      </c>
      <c r="C4" s="468"/>
      <c r="D4" s="469"/>
      <c r="E4" s="470" t="s">
        <v>158</v>
      </c>
      <c r="F4" s="468"/>
      <c r="G4" s="469"/>
      <c r="H4" s="555" t="s">
        <v>416</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29"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557"/>
      <c r="S8" s="260"/>
      <c r="T8" s="260"/>
      <c r="U8" s="260"/>
      <c r="V8" s="260"/>
      <c r="W8" s="260"/>
      <c r="X8" s="260"/>
      <c r="Y8" s="260"/>
      <c r="Z8" s="260"/>
    </row>
    <row r="9" ht="13.5" customHeight="1">
      <c r="A9" s="497"/>
      <c r="B9" s="498">
        <v>1.0</v>
      </c>
      <c r="C9" s="499" t="s">
        <v>290</v>
      </c>
      <c r="D9" s="500">
        <v>146.4</v>
      </c>
      <c r="E9" s="500">
        <v>28.41</v>
      </c>
      <c r="F9" s="500">
        <v>30.63</v>
      </c>
      <c r="G9" s="500">
        <v>25.22</v>
      </c>
      <c r="H9" s="500">
        <v>62.55</v>
      </c>
      <c r="I9" s="500">
        <v>17.11</v>
      </c>
      <c r="J9" s="500">
        <v>31.23</v>
      </c>
      <c r="K9" s="500">
        <v>76.21</v>
      </c>
      <c r="L9" s="500">
        <v>21.18</v>
      </c>
      <c r="M9" s="500">
        <v>9.64</v>
      </c>
      <c r="N9" s="501">
        <f t="shared" ref="N9:N11" si="1">SUM(D9:M9)</f>
        <v>448.58</v>
      </c>
      <c r="O9" s="485"/>
      <c r="P9" s="607">
        <f t="shared" ref="P9:P10" si="2">AVERAGE(D9:M9)</f>
        <v>44.858</v>
      </c>
      <c r="Q9" s="630">
        <f t="shared" ref="Q9:Q10" si="3">MAX(D9:M9)</f>
        <v>146.4</v>
      </c>
      <c r="R9" s="631">
        <f t="shared" ref="R9:R10" si="4">P9/$P$11</f>
        <v>0.7007091755</v>
      </c>
      <c r="S9" s="497"/>
      <c r="T9" s="497"/>
      <c r="U9" s="497"/>
      <c r="V9" s="497"/>
      <c r="W9" s="497"/>
      <c r="X9" s="497"/>
      <c r="Y9" s="497"/>
      <c r="Z9" s="497"/>
    </row>
    <row r="10" ht="13.5" customHeight="1">
      <c r="A10" s="485"/>
      <c r="B10" s="498">
        <v>2.0</v>
      </c>
      <c r="C10" s="563" t="s">
        <v>293</v>
      </c>
      <c r="D10" s="500">
        <v>21.18</v>
      </c>
      <c r="E10" s="500">
        <v>23.05</v>
      </c>
      <c r="F10" s="500">
        <v>7.56</v>
      </c>
      <c r="G10" s="500">
        <v>17.11</v>
      </c>
      <c r="H10" s="500">
        <v>30.74</v>
      </c>
      <c r="I10" s="500">
        <v>20.12</v>
      </c>
      <c r="J10" s="500">
        <v>18.98</v>
      </c>
      <c r="K10" s="500">
        <v>23.23</v>
      </c>
      <c r="L10" s="500">
        <v>15.48</v>
      </c>
      <c r="M10" s="500">
        <v>14.15</v>
      </c>
      <c r="N10" s="501">
        <f t="shared" si="1"/>
        <v>191.6</v>
      </c>
      <c r="O10" s="485"/>
      <c r="P10" s="607">
        <f t="shared" si="2"/>
        <v>19.16</v>
      </c>
      <c r="Q10" s="630">
        <f t="shared" si="3"/>
        <v>30.74</v>
      </c>
      <c r="R10" s="632">
        <f t="shared" si="4"/>
        <v>0.2992908245</v>
      </c>
      <c r="S10" s="485"/>
      <c r="T10" s="485"/>
      <c r="U10" s="485"/>
      <c r="V10" s="485"/>
      <c r="W10" s="485"/>
      <c r="X10" s="485"/>
      <c r="Y10" s="485"/>
      <c r="Z10" s="485"/>
    </row>
    <row r="11" ht="13.5" customHeight="1">
      <c r="A11" s="485"/>
      <c r="B11" s="507"/>
      <c r="C11" s="508" t="s">
        <v>180</v>
      </c>
      <c r="D11" s="613">
        <f t="shared" ref="D11:M11" si="5">SUM(D9:D10)</f>
        <v>167.58</v>
      </c>
      <c r="E11" s="613">
        <f t="shared" si="5"/>
        <v>51.46</v>
      </c>
      <c r="F11" s="613">
        <f t="shared" si="5"/>
        <v>38.19</v>
      </c>
      <c r="G11" s="613">
        <f t="shared" si="5"/>
        <v>42.33</v>
      </c>
      <c r="H11" s="613">
        <f t="shared" si="5"/>
        <v>93.29</v>
      </c>
      <c r="I11" s="613">
        <f t="shared" si="5"/>
        <v>37.23</v>
      </c>
      <c r="J11" s="613">
        <f t="shared" si="5"/>
        <v>50.21</v>
      </c>
      <c r="K11" s="613">
        <f t="shared" si="5"/>
        <v>99.44</v>
      </c>
      <c r="L11" s="613">
        <f t="shared" si="5"/>
        <v>36.66</v>
      </c>
      <c r="M11" s="613">
        <f t="shared" si="5"/>
        <v>23.79</v>
      </c>
      <c r="N11" s="510">
        <f t="shared" si="1"/>
        <v>640.18</v>
      </c>
      <c r="O11" s="479" t="s">
        <v>10</v>
      </c>
      <c r="P11" s="614">
        <f t="shared" ref="P11:R11" si="6">SUM(P9:P10)</f>
        <v>64.018</v>
      </c>
      <c r="Q11" s="615">
        <f t="shared" si="6"/>
        <v>177.14</v>
      </c>
      <c r="R11" s="615">
        <f t="shared" si="6"/>
        <v>1</v>
      </c>
      <c r="S11" s="485"/>
      <c r="T11" s="485"/>
      <c r="U11" s="485"/>
      <c r="V11" s="485"/>
      <c r="W11" s="485"/>
      <c r="X11" s="485"/>
      <c r="Y11" s="485"/>
      <c r="Z11" s="485"/>
    </row>
    <row r="12" ht="13.5" customHeight="1">
      <c r="A12" s="260"/>
      <c r="B12" s="260"/>
      <c r="C12" s="514"/>
      <c r="D12" s="515"/>
      <c r="E12" s="515"/>
      <c r="F12" s="515"/>
      <c r="G12" s="515"/>
      <c r="H12" s="515"/>
      <c r="I12" s="515"/>
      <c r="J12" s="515"/>
      <c r="K12" s="515"/>
      <c r="L12" s="515"/>
      <c r="M12" s="515"/>
      <c r="N12" s="516">
        <f>N11/60</f>
        <v>10.66966667</v>
      </c>
      <c r="O12" s="260"/>
      <c r="P12" s="260"/>
      <c r="Q12" s="260"/>
      <c r="R12" s="260"/>
      <c r="S12" s="260"/>
      <c r="T12" s="260"/>
      <c r="U12" s="260"/>
      <c r="V12" s="260"/>
      <c r="W12" s="260"/>
      <c r="X12" s="260"/>
      <c r="Y12" s="260"/>
      <c r="Z12" s="260"/>
    </row>
    <row r="13" ht="13.5" customHeight="1">
      <c r="A13" s="260"/>
      <c r="B13" s="260"/>
      <c r="C13" s="514"/>
      <c r="D13" s="515"/>
      <c r="E13" s="515"/>
      <c r="F13" s="515"/>
      <c r="G13" s="515"/>
      <c r="H13" s="515"/>
      <c r="I13" s="515"/>
      <c r="J13" s="515"/>
      <c r="K13" s="515"/>
      <c r="L13" s="515"/>
      <c r="M13" s="515"/>
      <c r="N13" s="517" t="s">
        <v>182</v>
      </c>
      <c r="O13" s="479"/>
      <c r="P13" s="515"/>
      <c r="Q13" s="515"/>
      <c r="R13" s="479"/>
      <c r="S13" s="260"/>
      <c r="T13" s="260"/>
      <c r="U13" s="260"/>
      <c r="V13" s="260"/>
      <c r="W13" s="260"/>
      <c r="X13" s="260"/>
      <c r="Y13" s="260"/>
      <c r="Z13" s="260"/>
    </row>
    <row r="14" ht="13.5" customHeight="1">
      <c r="A14" s="260"/>
      <c r="B14" s="260"/>
      <c r="C14" s="260"/>
      <c r="D14" s="260"/>
      <c r="E14" s="260"/>
      <c r="F14" s="260"/>
      <c r="G14" s="260"/>
      <c r="H14" s="260"/>
      <c r="I14" s="260"/>
      <c r="J14" s="260"/>
      <c r="K14" s="260"/>
      <c r="L14" s="260"/>
      <c r="M14" s="260"/>
      <c r="N14" s="260"/>
      <c r="O14" s="479"/>
      <c r="P14" s="515"/>
      <c r="Q14" s="515"/>
      <c r="R14" s="479"/>
      <c r="S14" s="260"/>
      <c r="T14" s="260"/>
      <c r="U14" s="260"/>
      <c r="V14" s="260"/>
      <c r="W14" s="260"/>
      <c r="X14" s="260"/>
      <c r="Y14" s="260"/>
      <c r="Z14" s="260"/>
    </row>
    <row r="15" ht="7.5" customHeight="1">
      <c r="A15" s="260"/>
      <c r="B15" s="260"/>
      <c r="C15" s="514"/>
      <c r="D15" s="515"/>
      <c r="E15" s="515"/>
      <c r="F15" s="515"/>
      <c r="G15" s="515"/>
      <c r="H15" s="515"/>
      <c r="I15" s="515"/>
      <c r="J15" s="515"/>
      <c r="K15" s="515"/>
      <c r="L15" s="515"/>
      <c r="M15" s="515"/>
      <c r="N15" s="516"/>
      <c r="O15" s="479"/>
      <c r="P15" s="515"/>
      <c r="Q15" s="515"/>
      <c r="R15" s="479"/>
      <c r="S15" s="260"/>
      <c r="T15" s="260"/>
      <c r="U15" s="260"/>
      <c r="V15" s="260"/>
      <c r="W15" s="260"/>
      <c r="X15" s="260"/>
      <c r="Y15" s="260"/>
      <c r="Z15" s="260"/>
    </row>
    <row r="16" ht="13.5" customHeight="1">
      <c r="A16" s="260"/>
      <c r="B16" s="260"/>
      <c r="C16" s="518" t="s">
        <v>417</v>
      </c>
      <c r="D16" s="522">
        <v>45.0</v>
      </c>
      <c r="E16" s="522">
        <v>7.0</v>
      </c>
      <c r="F16" s="522">
        <v>1.0</v>
      </c>
      <c r="G16" s="522">
        <v>3.0</v>
      </c>
      <c r="H16" s="522">
        <v>14.0</v>
      </c>
      <c r="I16" s="522">
        <v>1.0</v>
      </c>
      <c r="J16" s="522">
        <v>2.0</v>
      </c>
      <c r="K16" s="522">
        <v>2.0</v>
      </c>
      <c r="L16" s="522">
        <v>3.0</v>
      </c>
      <c r="M16" s="522">
        <v>1.0</v>
      </c>
      <c r="N16" s="520"/>
      <c r="O16" s="479"/>
      <c r="P16" s="479"/>
      <c r="Q16" s="521"/>
      <c r="R16" s="260"/>
      <c r="S16" s="260"/>
      <c r="T16" s="260"/>
      <c r="U16" s="260"/>
      <c r="V16" s="260"/>
      <c r="W16" s="260"/>
      <c r="X16" s="260"/>
      <c r="Y16" s="260"/>
      <c r="Z16" s="260"/>
    </row>
    <row r="17" ht="13.5" customHeight="1">
      <c r="A17" s="260"/>
      <c r="B17" s="260"/>
      <c r="C17" s="518" t="s">
        <v>294</v>
      </c>
      <c r="D17" s="522" t="s">
        <v>295</v>
      </c>
      <c r="E17" s="522" t="s">
        <v>296</v>
      </c>
      <c r="F17" s="569">
        <v>6.4793681373186E14</v>
      </c>
      <c r="G17" s="569">
        <v>6.48273243175364E14</v>
      </c>
      <c r="H17" s="569">
        <v>6.52071150791481E14</v>
      </c>
      <c r="I17" s="569">
        <v>6.48691674809415E14</v>
      </c>
      <c r="J17" s="569">
        <v>6.48645294554667E14</v>
      </c>
      <c r="K17" s="569" t="s">
        <v>297</v>
      </c>
      <c r="L17" s="569">
        <v>6.51515228002361E14</v>
      </c>
      <c r="M17" s="569">
        <v>6.55547797928654E14</v>
      </c>
      <c r="N17" s="520"/>
      <c r="O17" s="479"/>
      <c r="P17" s="479"/>
      <c r="Q17" s="521"/>
      <c r="R17" s="260"/>
      <c r="S17" s="260"/>
      <c r="T17" s="260"/>
      <c r="U17" s="260"/>
      <c r="V17" s="260"/>
      <c r="W17" s="260"/>
      <c r="X17" s="260"/>
      <c r="Y17" s="260"/>
      <c r="Z17" s="260"/>
    </row>
    <row r="18" ht="13.5" customHeight="1">
      <c r="A18" s="260"/>
      <c r="B18" s="260"/>
      <c r="C18" s="518" t="s">
        <v>187</v>
      </c>
      <c r="D18" s="522" t="s">
        <v>298</v>
      </c>
      <c r="E18" s="522" t="s">
        <v>298</v>
      </c>
      <c r="F18" s="522" t="s">
        <v>298</v>
      </c>
      <c r="G18" s="522" t="s">
        <v>298</v>
      </c>
      <c r="H18" s="522" t="s">
        <v>298</v>
      </c>
      <c r="I18" s="522" t="s">
        <v>299</v>
      </c>
      <c r="J18" s="522" t="s">
        <v>299</v>
      </c>
      <c r="K18" s="522" t="s">
        <v>299</v>
      </c>
      <c r="L18" s="522" t="s">
        <v>299</v>
      </c>
      <c r="M18" s="522" t="s">
        <v>299</v>
      </c>
      <c r="N18" s="520"/>
      <c r="O18" s="479"/>
      <c r="P18" s="479"/>
      <c r="Q18" s="521"/>
      <c r="R18" s="260"/>
      <c r="S18" s="260"/>
      <c r="T18" s="260"/>
      <c r="U18" s="260"/>
      <c r="V18" s="260"/>
      <c r="W18" s="260"/>
      <c r="X18" s="260"/>
      <c r="Y18" s="260"/>
      <c r="Z18" s="260"/>
    </row>
    <row r="19" ht="13.5" customHeight="1">
      <c r="A19" s="260"/>
      <c r="B19" s="260"/>
      <c r="C19" s="570" t="s">
        <v>243</v>
      </c>
      <c r="D19" s="571" t="s">
        <v>300</v>
      </c>
      <c r="E19" s="571" t="s">
        <v>301</v>
      </c>
      <c r="F19" s="522" t="s">
        <v>245</v>
      </c>
      <c r="G19" s="522" t="s">
        <v>302</v>
      </c>
      <c r="H19" s="522" t="s">
        <v>302</v>
      </c>
      <c r="I19" s="522" t="s">
        <v>303</v>
      </c>
      <c r="J19" s="522" t="s">
        <v>303</v>
      </c>
      <c r="K19" s="522" t="s">
        <v>303</v>
      </c>
      <c r="L19" s="571" t="s">
        <v>301</v>
      </c>
      <c r="M19" s="571" t="s">
        <v>301</v>
      </c>
      <c r="N19" s="520"/>
      <c r="O19" s="479"/>
      <c r="P19" s="479"/>
      <c r="Q19" s="521"/>
      <c r="R19" s="260"/>
      <c r="S19" s="260"/>
      <c r="T19" s="260"/>
      <c r="U19" s="260"/>
      <c r="V19" s="260"/>
      <c r="W19" s="260"/>
      <c r="X19" s="260"/>
      <c r="Y19" s="260"/>
      <c r="Z19" s="260"/>
    </row>
    <row r="20" ht="13.5" customHeight="1">
      <c r="A20" s="260"/>
      <c r="B20" s="260"/>
      <c r="C20" s="572" t="s">
        <v>304</v>
      </c>
      <c r="D20" s="522" t="s">
        <v>418</v>
      </c>
      <c r="E20" s="522" t="s">
        <v>418</v>
      </c>
      <c r="F20" s="522" t="s">
        <v>419</v>
      </c>
      <c r="G20" s="633" t="s">
        <v>418</v>
      </c>
      <c r="H20" s="522" t="s">
        <v>418</v>
      </c>
      <c r="I20" s="526" t="s">
        <v>308</v>
      </c>
      <c r="J20" s="526" t="s">
        <v>308</v>
      </c>
      <c r="K20" s="526" t="s">
        <v>309</v>
      </c>
      <c r="L20" s="634" t="s">
        <v>420</v>
      </c>
      <c r="M20" s="634" t="s">
        <v>421</v>
      </c>
      <c r="N20" s="520"/>
      <c r="O20" s="479"/>
      <c r="P20" s="479"/>
      <c r="Q20" s="521"/>
      <c r="R20" s="260"/>
      <c r="S20" s="260"/>
      <c r="T20" s="260"/>
      <c r="U20" s="260"/>
      <c r="V20" s="260"/>
      <c r="W20" s="260"/>
      <c r="X20" s="260"/>
      <c r="Y20" s="260"/>
      <c r="Z20" s="260"/>
    </row>
    <row r="21" ht="13.5" customHeight="1">
      <c r="A21" s="260"/>
      <c r="B21" s="260"/>
      <c r="C21" s="514"/>
      <c r="D21" s="479"/>
      <c r="E21" s="479"/>
      <c r="F21" s="479"/>
      <c r="G21" s="479"/>
      <c r="H21" s="479"/>
      <c r="I21" s="479"/>
      <c r="J21" s="479"/>
      <c r="K21" s="479"/>
      <c r="L21" s="479"/>
      <c r="M21" s="577"/>
      <c r="N21" s="520"/>
      <c r="O21" s="479"/>
      <c r="P21" s="479"/>
      <c r="Q21" s="521"/>
      <c r="R21" s="260"/>
      <c r="S21" s="260"/>
      <c r="T21" s="260"/>
      <c r="U21" s="260"/>
      <c r="V21" s="260"/>
      <c r="W21" s="260"/>
      <c r="X21" s="260"/>
      <c r="Y21" s="260"/>
      <c r="Z21" s="260"/>
    </row>
    <row r="22" ht="13.5" customHeight="1">
      <c r="A22" s="532"/>
      <c r="B22" s="532"/>
      <c r="C22" s="548" t="s">
        <v>422</v>
      </c>
      <c r="D22" s="532"/>
      <c r="E22" s="532"/>
      <c r="F22" s="532"/>
      <c r="G22" s="532"/>
      <c r="H22" s="532"/>
      <c r="I22" s="532"/>
      <c r="J22" s="532"/>
      <c r="K22" s="532"/>
      <c r="L22" s="532"/>
      <c r="M22" s="532"/>
      <c r="N22" s="534" t="s">
        <v>163</v>
      </c>
      <c r="O22" s="535"/>
      <c r="P22" s="535"/>
      <c r="Q22" s="535"/>
      <c r="R22" s="536"/>
      <c r="S22" s="536"/>
      <c r="T22" s="532"/>
      <c r="U22" s="532"/>
      <c r="V22" s="532"/>
      <c r="W22" s="532"/>
      <c r="X22" s="532"/>
      <c r="Y22" s="532"/>
      <c r="Z22" s="532"/>
    </row>
    <row r="23" ht="13.5" customHeight="1">
      <c r="A23" s="260"/>
      <c r="B23" s="260"/>
      <c r="C23" s="537" t="s">
        <v>192</v>
      </c>
      <c r="D23" s="538">
        <v>1.0</v>
      </c>
      <c r="E23" s="538">
        <v>1.0</v>
      </c>
      <c r="F23" s="538">
        <v>1.0</v>
      </c>
      <c r="G23" s="538">
        <v>1.0</v>
      </c>
      <c r="H23" s="538">
        <v>1.0</v>
      </c>
      <c r="I23" s="538">
        <v>1.0</v>
      </c>
      <c r="J23" s="538">
        <v>1.0</v>
      </c>
      <c r="K23" s="538">
        <v>1.0</v>
      </c>
      <c r="L23" s="538">
        <v>1.0</v>
      </c>
      <c r="M23" s="538">
        <v>1.0</v>
      </c>
      <c r="N23" s="538">
        <f t="shared" ref="N23:N26" si="8">AVERAGE(D23:M23)</f>
        <v>1</v>
      </c>
      <c r="O23" s="539"/>
      <c r="P23" s="540"/>
      <c r="T23" s="260"/>
      <c r="U23" s="260"/>
      <c r="V23" s="260"/>
      <c r="W23" s="260"/>
      <c r="X23" s="260"/>
      <c r="Y23" s="260"/>
      <c r="Z23" s="260"/>
    </row>
    <row r="24" ht="13.5" customHeight="1">
      <c r="A24" s="260"/>
      <c r="B24" s="260"/>
      <c r="C24" s="537" t="s">
        <v>193</v>
      </c>
      <c r="D24" s="541">
        <f t="shared" ref="D24:M24" si="7">D11/D16</f>
        <v>3.724</v>
      </c>
      <c r="E24" s="541">
        <f t="shared" si="7"/>
        <v>7.351428571</v>
      </c>
      <c r="F24" s="541">
        <f t="shared" si="7"/>
        <v>38.19</v>
      </c>
      <c r="G24" s="541">
        <f t="shared" si="7"/>
        <v>14.11</v>
      </c>
      <c r="H24" s="541">
        <f t="shared" si="7"/>
        <v>6.663571429</v>
      </c>
      <c r="I24" s="541">
        <f t="shared" si="7"/>
        <v>37.23</v>
      </c>
      <c r="J24" s="541">
        <f t="shared" si="7"/>
        <v>25.105</v>
      </c>
      <c r="K24" s="541">
        <f t="shared" si="7"/>
        <v>49.72</v>
      </c>
      <c r="L24" s="541">
        <f t="shared" si="7"/>
        <v>12.22</v>
      </c>
      <c r="M24" s="541">
        <f t="shared" si="7"/>
        <v>23.79</v>
      </c>
      <c r="N24" s="500">
        <f t="shared" si="8"/>
        <v>21.8104</v>
      </c>
      <c r="O24" s="539"/>
      <c r="P24" s="542"/>
      <c r="Q24" s="540"/>
      <c r="R24" s="540"/>
      <c r="S24" s="540"/>
      <c r="T24" s="260"/>
      <c r="U24" s="260"/>
      <c r="V24" s="260"/>
      <c r="W24" s="260"/>
      <c r="X24" s="260"/>
      <c r="Y24" s="260"/>
      <c r="Z24" s="260"/>
    </row>
    <row r="25" ht="13.5" customHeight="1">
      <c r="A25" s="260"/>
      <c r="B25" s="260"/>
      <c r="C25" s="537" t="s">
        <v>194</v>
      </c>
      <c r="D25" s="500">
        <f t="shared" ref="D25:M25" si="9">D24*D23</f>
        <v>3.724</v>
      </c>
      <c r="E25" s="500">
        <f t="shared" si="9"/>
        <v>7.351428571</v>
      </c>
      <c r="F25" s="500">
        <f t="shared" si="9"/>
        <v>38.19</v>
      </c>
      <c r="G25" s="500">
        <f t="shared" si="9"/>
        <v>14.11</v>
      </c>
      <c r="H25" s="500">
        <f t="shared" si="9"/>
        <v>6.663571429</v>
      </c>
      <c r="I25" s="500">
        <f t="shared" si="9"/>
        <v>37.23</v>
      </c>
      <c r="J25" s="500">
        <f t="shared" si="9"/>
        <v>25.105</v>
      </c>
      <c r="K25" s="500">
        <f t="shared" si="9"/>
        <v>49.72</v>
      </c>
      <c r="L25" s="500">
        <f t="shared" si="9"/>
        <v>12.22</v>
      </c>
      <c r="M25" s="500">
        <f t="shared" si="9"/>
        <v>23.79</v>
      </c>
      <c r="N25" s="500">
        <f t="shared" si="8"/>
        <v>21.8104</v>
      </c>
      <c r="O25" s="539"/>
      <c r="P25" s="542"/>
      <c r="Q25" s="540"/>
      <c r="R25" s="540"/>
      <c r="S25" s="540"/>
      <c r="T25" s="260"/>
      <c r="U25" s="260"/>
      <c r="V25" s="260"/>
      <c r="W25" s="260"/>
      <c r="X25" s="260"/>
      <c r="Y25" s="260"/>
      <c r="Z25" s="260"/>
    </row>
    <row r="26" ht="13.5" customHeight="1">
      <c r="A26" s="260"/>
      <c r="B26" s="260"/>
      <c r="C26" s="537" t="s">
        <v>195</v>
      </c>
      <c r="D26" s="500">
        <f t="shared" ref="D26:M26" si="10">D25*(1+0.05)</f>
        <v>3.9102</v>
      </c>
      <c r="E26" s="500">
        <f t="shared" si="10"/>
        <v>7.719</v>
      </c>
      <c r="F26" s="500">
        <f t="shared" si="10"/>
        <v>40.0995</v>
      </c>
      <c r="G26" s="500">
        <f t="shared" si="10"/>
        <v>14.8155</v>
      </c>
      <c r="H26" s="500">
        <f t="shared" si="10"/>
        <v>6.99675</v>
      </c>
      <c r="I26" s="500">
        <f t="shared" si="10"/>
        <v>39.0915</v>
      </c>
      <c r="J26" s="500">
        <f t="shared" si="10"/>
        <v>26.36025</v>
      </c>
      <c r="K26" s="500">
        <f t="shared" si="10"/>
        <v>52.206</v>
      </c>
      <c r="L26" s="500">
        <f t="shared" si="10"/>
        <v>12.831</v>
      </c>
      <c r="M26" s="500">
        <f t="shared" si="10"/>
        <v>24.9795</v>
      </c>
      <c r="N26" s="500">
        <f t="shared" si="8"/>
        <v>22.90092</v>
      </c>
      <c r="O26" s="543"/>
      <c r="P26" s="543"/>
      <c r="Q26" s="543"/>
      <c r="R26" s="543"/>
      <c r="S26" s="539"/>
      <c r="T26" s="260"/>
      <c r="U26" s="260"/>
      <c r="V26" s="260"/>
      <c r="W26" s="260"/>
      <c r="X26" s="260"/>
      <c r="Y26" s="260"/>
      <c r="Z26" s="260"/>
    </row>
    <row r="27" ht="13.5" customHeight="1">
      <c r="A27" s="260"/>
      <c r="B27" s="260"/>
      <c r="C27" s="544" t="s">
        <v>196</v>
      </c>
      <c r="D27" s="618">
        <f t="shared" ref="D27:M27" si="11">(D26/3600)*100</f>
        <v>0.1086166667</v>
      </c>
      <c r="E27" s="618">
        <f t="shared" si="11"/>
        <v>0.2144166667</v>
      </c>
      <c r="F27" s="618">
        <f t="shared" si="11"/>
        <v>1.113875</v>
      </c>
      <c r="G27" s="618">
        <f t="shared" si="11"/>
        <v>0.4115416667</v>
      </c>
      <c r="H27" s="618">
        <f t="shared" si="11"/>
        <v>0.1943541667</v>
      </c>
      <c r="I27" s="618">
        <f t="shared" si="11"/>
        <v>1.085875</v>
      </c>
      <c r="J27" s="618">
        <f t="shared" si="11"/>
        <v>0.7322291667</v>
      </c>
      <c r="K27" s="618">
        <f t="shared" si="11"/>
        <v>1.450166667</v>
      </c>
      <c r="L27" s="618">
        <f t="shared" si="11"/>
        <v>0.3564166667</v>
      </c>
      <c r="M27" s="618">
        <f t="shared" si="11"/>
        <v>0.693875</v>
      </c>
      <c r="N27" s="545">
        <f>3600/N26</f>
        <v>157.1989248</v>
      </c>
      <c r="O27" s="547"/>
      <c r="Q27" s="547"/>
      <c r="R27" s="547"/>
      <c r="S27" s="260"/>
      <c r="T27" s="260"/>
      <c r="U27" s="260"/>
      <c r="V27" s="260"/>
      <c r="W27" s="260"/>
      <c r="X27" s="260"/>
      <c r="Y27" s="260"/>
      <c r="Z27" s="260"/>
    </row>
    <row r="28" ht="13.5" customHeight="1">
      <c r="A28" s="260"/>
      <c r="B28" s="260"/>
      <c r="C28" s="260"/>
      <c r="D28" s="260"/>
      <c r="E28" s="260"/>
      <c r="F28" s="260"/>
      <c r="G28" s="260"/>
      <c r="H28" s="260"/>
      <c r="I28" s="260"/>
      <c r="J28" s="260"/>
      <c r="K28" s="260"/>
      <c r="L28" s="260"/>
      <c r="M28" s="260"/>
      <c r="N28" s="260"/>
      <c r="O28" s="547"/>
      <c r="Q28" s="547"/>
      <c r="R28" s="547"/>
      <c r="S28" s="260"/>
      <c r="T28" s="260"/>
      <c r="U28" s="260"/>
      <c r="V28" s="260"/>
      <c r="W28" s="260"/>
      <c r="X28" s="260"/>
      <c r="Y28" s="260"/>
      <c r="Z28" s="260"/>
    </row>
    <row r="29" ht="13.5" customHeight="1">
      <c r="A29" s="260"/>
      <c r="B29" s="260"/>
      <c r="C29" s="619" t="s">
        <v>357</v>
      </c>
      <c r="D29" s="521">
        <v>0.05</v>
      </c>
      <c r="E29" s="260"/>
      <c r="F29" s="260"/>
      <c r="G29" s="260"/>
      <c r="H29" s="260"/>
      <c r="I29" s="260"/>
      <c r="J29" s="260"/>
      <c r="K29" s="260"/>
      <c r="L29" s="260"/>
      <c r="M29" s="260"/>
      <c r="N29" s="260"/>
      <c r="O29" s="617"/>
      <c r="P29" s="617"/>
      <c r="Q29" s="617"/>
      <c r="R29" s="617"/>
      <c r="S29" s="260"/>
      <c r="T29" s="260"/>
      <c r="U29" s="260"/>
      <c r="V29" s="260"/>
      <c r="W29" s="260"/>
      <c r="X29" s="260"/>
      <c r="Y29" s="260"/>
      <c r="Z29" s="260"/>
    </row>
    <row r="30" ht="13.5" customHeight="1">
      <c r="A30" s="260"/>
      <c r="B30" s="260"/>
      <c r="C30" s="619" t="s">
        <v>358</v>
      </c>
      <c r="D30" s="338" t="s">
        <v>359</v>
      </c>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260"/>
      <c r="D31" s="338"/>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635"/>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636"/>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3:S23"/>
    <mergeCell ref="O27:P27"/>
    <mergeCell ref="O28:P28"/>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21.71"/>
    <col customWidth="1" min="5" max="5" width="20.0"/>
    <col customWidth="1" min="6" max="6" width="18.71"/>
    <col customWidth="1" min="7" max="7" width="21.29"/>
    <col customWidth="1" min="8" max="8" width="20.57"/>
    <col customWidth="1" min="9" max="9" width="15.43"/>
    <col customWidth="1" min="10" max="10" width="16.86"/>
    <col customWidth="1" min="11" max="11" width="17.71"/>
    <col customWidth="1" min="12" max="12" width="14.29"/>
    <col customWidth="1" min="13" max="13" width="15.29"/>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410</v>
      </c>
      <c r="C4" s="468"/>
      <c r="D4" s="469"/>
      <c r="E4" s="470" t="s">
        <v>158</v>
      </c>
      <c r="F4" s="468"/>
      <c r="G4" s="469"/>
      <c r="H4" s="555" t="s">
        <v>416</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29"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557"/>
      <c r="S8" s="260"/>
      <c r="T8" s="260"/>
      <c r="U8" s="260"/>
      <c r="V8" s="260"/>
      <c r="W8" s="260"/>
      <c r="X8" s="260"/>
      <c r="Y8" s="260"/>
      <c r="Z8" s="260"/>
    </row>
    <row r="9" ht="13.5" customHeight="1">
      <c r="A9" s="497"/>
      <c r="B9" s="498">
        <v>1.0</v>
      </c>
      <c r="C9" s="499" t="s">
        <v>423</v>
      </c>
      <c r="D9" s="500">
        <v>85.32</v>
      </c>
      <c r="E9" s="500">
        <v>107.79</v>
      </c>
      <c r="F9" s="500">
        <v>612.24</v>
      </c>
      <c r="G9" s="500">
        <v>1683.47</v>
      </c>
      <c r="H9" s="500">
        <v>1164.38</v>
      </c>
      <c r="I9" s="500"/>
      <c r="J9" s="500"/>
      <c r="K9" s="500"/>
      <c r="L9" s="500"/>
      <c r="M9" s="500"/>
      <c r="N9" s="501">
        <f t="shared" ref="N9:N10" si="2">SUM(D9:M9)</f>
        <v>3653.2</v>
      </c>
      <c r="O9" s="485"/>
      <c r="P9" s="607">
        <f>AVERAGE(D9:M9)</f>
        <v>730.64</v>
      </c>
      <c r="Q9" s="630">
        <f>MAX(D9:M9)</f>
        <v>1683.47</v>
      </c>
      <c r="R9" s="631">
        <f>P9/$P$10</f>
        <v>1</v>
      </c>
      <c r="S9" s="497"/>
      <c r="T9" s="497"/>
      <c r="U9" s="497"/>
      <c r="V9" s="497"/>
      <c r="W9" s="497"/>
      <c r="X9" s="497"/>
      <c r="Y9" s="497"/>
      <c r="Z9" s="497"/>
    </row>
    <row r="10" ht="13.5" customHeight="1">
      <c r="A10" s="485"/>
      <c r="B10" s="507"/>
      <c r="C10" s="508" t="s">
        <v>180</v>
      </c>
      <c r="D10" s="613">
        <f t="shared" ref="D10:M10" si="1">SUM(D9)</f>
        <v>85.32</v>
      </c>
      <c r="E10" s="613">
        <f t="shared" si="1"/>
        <v>107.79</v>
      </c>
      <c r="F10" s="613">
        <f t="shared" si="1"/>
        <v>612.24</v>
      </c>
      <c r="G10" s="613">
        <f t="shared" si="1"/>
        <v>1683.47</v>
      </c>
      <c r="H10" s="613">
        <f t="shared" si="1"/>
        <v>1164.38</v>
      </c>
      <c r="I10" s="613">
        <f t="shared" si="1"/>
        <v>0</v>
      </c>
      <c r="J10" s="613">
        <f t="shared" si="1"/>
        <v>0</v>
      </c>
      <c r="K10" s="613">
        <f t="shared" si="1"/>
        <v>0</v>
      </c>
      <c r="L10" s="613">
        <f t="shared" si="1"/>
        <v>0</v>
      </c>
      <c r="M10" s="613">
        <f t="shared" si="1"/>
        <v>0</v>
      </c>
      <c r="N10" s="510">
        <f t="shared" si="2"/>
        <v>3653.2</v>
      </c>
      <c r="O10" s="479" t="s">
        <v>10</v>
      </c>
      <c r="P10" s="614">
        <f t="shared" ref="P10:R10" si="3">SUM(P9)</f>
        <v>730.64</v>
      </c>
      <c r="Q10" s="615">
        <f t="shared" si="3"/>
        <v>1683.47</v>
      </c>
      <c r="R10" s="615">
        <f t="shared" si="3"/>
        <v>1</v>
      </c>
      <c r="S10" s="485"/>
      <c r="T10" s="485"/>
      <c r="U10" s="485"/>
      <c r="V10" s="485"/>
      <c r="W10" s="485"/>
      <c r="X10" s="485"/>
      <c r="Y10" s="485"/>
      <c r="Z10" s="485"/>
    </row>
    <row r="11" ht="13.5" customHeight="1">
      <c r="A11" s="260"/>
      <c r="B11" s="260"/>
      <c r="C11" s="514"/>
      <c r="D11" s="515"/>
      <c r="E11" s="515"/>
      <c r="F11" s="515"/>
      <c r="G11" s="515"/>
      <c r="H11" s="515"/>
      <c r="I11" s="515"/>
      <c r="J11" s="515"/>
      <c r="K11" s="515"/>
      <c r="L11" s="515"/>
      <c r="M11" s="515"/>
      <c r="N11" s="516">
        <f>N10/60</f>
        <v>60.88666667</v>
      </c>
      <c r="O11" s="260"/>
      <c r="P11" s="260"/>
      <c r="Q11" s="260"/>
      <c r="R11" s="260"/>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7" t="s">
        <v>182</v>
      </c>
      <c r="O12" s="479"/>
      <c r="P12" s="515"/>
      <c r="Q12" s="515"/>
      <c r="R12" s="479"/>
      <c r="S12" s="260"/>
      <c r="T12" s="260"/>
      <c r="U12" s="260"/>
      <c r="V12" s="260"/>
      <c r="W12" s="260"/>
      <c r="X12" s="260"/>
      <c r="Y12" s="260"/>
      <c r="Z12" s="260"/>
    </row>
    <row r="13" ht="13.5" customHeight="1">
      <c r="A13" s="260"/>
      <c r="B13" s="260"/>
      <c r="C13" s="260"/>
      <c r="D13" s="260"/>
      <c r="E13" s="260"/>
      <c r="F13" s="260"/>
      <c r="G13" s="260"/>
      <c r="H13" s="260"/>
      <c r="I13" s="260"/>
      <c r="J13" s="260"/>
      <c r="K13" s="260"/>
      <c r="L13" s="260"/>
      <c r="M13" s="260"/>
      <c r="N13" s="260"/>
      <c r="O13" s="479"/>
      <c r="P13" s="515"/>
      <c r="Q13" s="515"/>
      <c r="R13" s="479"/>
      <c r="S13" s="260"/>
      <c r="T13" s="260"/>
      <c r="U13" s="260"/>
      <c r="V13" s="260"/>
      <c r="W13" s="260"/>
      <c r="X13" s="260"/>
      <c r="Y13" s="260"/>
      <c r="Z13" s="260"/>
    </row>
    <row r="14" ht="7.5" customHeight="1">
      <c r="A14" s="260"/>
      <c r="B14" s="260"/>
      <c r="C14" s="514"/>
      <c r="D14" s="515"/>
      <c r="E14" s="515"/>
      <c r="F14" s="515"/>
      <c r="G14" s="515"/>
      <c r="H14" s="515"/>
      <c r="I14" s="515"/>
      <c r="J14" s="515"/>
      <c r="K14" s="515"/>
      <c r="L14" s="515"/>
      <c r="M14" s="515"/>
      <c r="N14" s="516"/>
      <c r="O14" s="479"/>
      <c r="P14" s="515"/>
      <c r="Q14" s="515"/>
      <c r="R14" s="479"/>
      <c r="S14" s="260"/>
      <c r="T14" s="260"/>
      <c r="U14" s="260"/>
      <c r="V14" s="260"/>
      <c r="W14" s="260"/>
      <c r="X14" s="260"/>
      <c r="Y14" s="260"/>
      <c r="Z14" s="260"/>
    </row>
    <row r="15" ht="13.5" customHeight="1">
      <c r="A15" s="260"/>
      <c r="B15" s="260"/>
      <c r="C15" s="518" t="s">
        <v>424</v>
      </c>
      <c r="D15" s="522">
        <v>1.0</v>
      </c>
      <c r="E15" s="522">
        <v>1.0</v>
      </c>
      <c r="F15" s="522">
        <v>6.0</v>
      </c>
      <c r="G15" s="522">
        <v>14.0</v>
      </c>
      <c r="H15" s="522">
        <v>9.0</v>
      </c>
      <c r="I15" s="522"/>
      <c r="J15" s="522"/>
      <c r="K15" s="522"/>
      <c r="L15" s="522"/>
      <c r="M15" s="522"/>
      <c r="N15" s="520"/>
      <c r="O15" s="479"/>
      <c r="P15" s="479"/>
      <c r="Q15" s="521"/>
      <c r="R15" s="260"/>
      <c r="S15" s="260"/>
      <c r="T15" s="260"/>
      <c r="U15" s="260"/>
      <c r="V15" s="260"/>
      <c r="W15" s="260"/>
      <c r="X15" s="260"/>
      <c r="Y15" s="260"/>
      <c r="Z15" s="260"/>
    </row>
    <row r="16" ht="13.5" customHeight="1">
      <c r="A16" s="260"/>
      <c r="B16" s="260"/>
      <c r="C16" s="518" t="s">
        <v>294</v>
      </c>
      <c r="D16" s="522" t="s">
        <v>324</v>
      </c>
      <c r="E16" s="569">
        <v>6.51046832008139E14</v>
      </c>
      <c r="F16" s="637" t="s">
        <v>425</v>
      </c>
      <c r="G16" s="637" t="s">
        <v>426</v>
      </c>
      <c r="H16" s="637" t="s">
        <v>427</v>
      </c>
      <c r="I16" s="569"/>
      <c r="J16" s="569"/>
      <c r="K16" s="569"/>
      <c r="L16" s="569"/>
      <c r="M16" s="569"/>
      <c r="N16" s="520"/>
      <c r="O16" s="479"/>
      <c r="P16" s="479"/>
      <c r="Q16" s="521"/>
      <c r="R16" s="260"/>
      <c r="S16" s="260"/>
      <c r="T16" s="260"/>
      <c r="U16" s="260"/>
      <c r="V16" s="260"/>
      <c r="W16" s="260"/>
      <c r="X16" s="260"/>
      <c r="Y16" s="260"/>
      <c r="Z16" s="260"/>
    </row>
    <row r="17" ht="13.5" customHeight="1">
      <c r="A17" s="260"/>
      <c r="B17" s="260"/>
      <c r="C17" s="518" t="s">
        <v>187</v>
      </c>
      <c r="D17" s="522" t="s">
        <v>428</v>
      </c>
      <c r="E17" s="522" t="s">
        <v>428</v>
      </c>
      <c r="F17" s="522" t="s">
        <v>428</v>
      </c>
      <c r="G17" s="522" t="s">
        <v>428</v>
      </c>
      <c r="H17" s="522" t="s">
        <v>428</v>
      </c>
      <c r="I17" s="522" t="s">
        <v>428</v>
      </c>
      <c r="J17" s="522" t="s">
        <v>428</v>
      </c>
      <c r="K17" s="522" t="s">
        <v>428</v>
      </c>
      <c r="L17" s="522" t="s">
        <v>428</v>
      </c>
      <c r="M17" s="522" t="s">
        <v>428</v>
      </c>
      <c r="N17" s="520"/>
      <c r="O17" s="479"/>
      <c r="P17" s="479"/>
      <c r="Q17" s="521"/>
      <c r="R17" s="260"/>
      <c r="S17" s="260"/>
      <c r="T17" s="260"/>
      <c r="U17" s="260"/>
      <c r="V17" s="260"/>
      <c r="W17" s="260"/>
      <c r="X17" s="260"/>
      <c r="Y17" s="260"/>
      <c r="Z17" s="260"/>
    </row>
    <row r="18" ht="13.5" customHeight="1">
      <c r="A18" s="260"/>
      <c r="B18" s="260"/>
      <c r="C18" s="570" t="s">
        <v>243</v>
      </c>
      <c r="D18" s="571"/>
      <c r="E18" s="571"/>
      <c r="F18" s="526" t="s">
        <v>429</v>
      </c>
      <c r="G18" s="526" t="s">
        <v>429</v>
      </c>
      <c r="H18" s="526" t="s">
        <v>430</v>
      </c>
      <c r="I18" s="522"/>
      <c r="J18" s="522"/>
      <c r="K18" s="522"/>
      <c r="L18" s="571"/>
      <c r="M18" s="571"/>
      <c r="N18" s="520"/>
      <c r="O18" s="479"/>
      <c r="P18" s="479"/>
      <c r="Q18" s="521"/>
      <c r="R18" s="260"/>
      <c r="S18" s="260"/>
      <c r="T18" s="260"/>
      <c r="U18" s="260"/>
      <c r="V18" s="260"/>
      <c r="W18" s="260"/>
      <c r="X18" s="260"/>
      <c r="Y18" s="260"/>
      <c r="Z18" s="260"/>
    </row>
    <row r="19" ht="13.5" customHeight="1">
      <c r="A19" s="260"/>
      <c r="B19" s="260"/>
      <c r="C19" s="572" t="s">
        <v>304</v>
      </c>
      <c r="D19" s="522" t="s">
        <v>431</v>
      </c>
      <c r="E19" s="522" t="s">
        <v>431</v>
      </c>
      <c r="F19" s="633" t="s">
        <v>431</v>
      </c>
      <c r="G19" s="633" t="s">
        <v>431</v>
      </c>
      <c r="H19" s="522"/>
      <c r="I19" s="526"/>
      <c r="J19" s="526"/>
      <c r="K19" s="526"/>
      <c r="L19" s="634"/>
      <c r="M19" s="634"/>
      <c r="N19" s="520"/>
      <c r="O19" s="479"/>
      <c r="P19" s="479"/>
      <c r="Q19" s="521"/>
      <c r="R19" s="260"/>
      <c r="S19" s="260"/>
      <c r="T19" s="260"/>
      <c r="U19" s="260"/>
      <c r="V19" s="260"/>
      <c r="W19" s="260"/>
      <c r="X19" s="260"/>
      <c r="Y19" s="260"/>
      <c r="Z19" s="260"/>
    </row>
    <row r="20" ht="13.5" customHeight="1">
      <c r="A20" s="260"/>
      <c r="B20" s="260"/>
      <c r="C20" s="514"/>
      <c r="D20" s="479"/>
      <c r="E20" s="479"/>
      <c r="F20" s="479"/>
      <c r="G20" s="479"/>
      <c r="H20" s="479"/>
      <c r="I20" s="479"/>
      <c r="J20" s="479"/>
      <c r="K20" s="479"/>
      <c r="L20" s="479"/>
      <c r="M20" s="577"/>
      <c r="N20" s="520"/>
      <c r="O20" s="479"/>
      <c r="P20" s="479"/>
      <c r="Q20" s="521"/>
      <c r="R20" s="260"/>
      <c r="S20" s="260"/>
      <c r="T20" s="260"/>
      <c r="U20" s="260"/>
      <c r="V20" s="260"/>
      <c r="W20" s="260"/>
      <c r="X20" s="260"/>
      <c r="Y20" s="260"/>
      <c r="Z20" s="260"/>
    </row>
    <row r="21" ht="13.5" customHeight="1">
      <c r="A21" s="532"/>
      <c r="B21" s="532"/>
      <c r="C21" s="548" t="s">
        <v>432</v>
      </c>
      <c r="D21" s="532"/>
      <c r="E21" s="532"/>
      <c r="F21" s="532"/>
      <c r="G21" s="532"/>
      <c r="H21" s="532"/>
      <c r="I21" s="532"/>
      <c r="J21" s="532"/>
      <c r="K21" s="532"/>
      <c r="L21" s="532"/>
      <c r="M21" s="532"/>
      <c r="N21" s="534" t="s">
        <v>163</v>
      </c>
      <c r="O21" s="535"/>
      <c r="P21" s="535"/>
      <c r="Q21" s="535"/>
      <c r="R21" s="536"/>
      <c r="S21" s="536"/>
      <c r="T21" s="532"/>
      <c r="U21" s="532"/>
      <c r="V21" s="532"/>
      <c r="W21" s="532"/>
      <c r="X21" s="532"/>
      <c r="Y21" s="532"/>
      <c r="Z21" s="532"/>
    </row>
    <row r="22" ht="13.5" customHeight="1">
      <c r="A22" s="260"/>
      <c r="B22" s="260"/>
      <c r="C22" s="537" t="s">
        <v>192</v>
      </c>
      <c r="D22" s="538">
        <v>1.0</v>
      </c>
      <c r="E22" s="538">
        <v>1.0</v>
      </c>
      <c r="F22" s="538">
        <v>1.0</v>
      </c>
      <c r="G22" s="538">
        <v>1.0</v>
      </c>
      <c r="H22" s="538">
        <v>1.0</v>
      </c>
      <c r="I22" s="538">
        <v>1.0</v>
      </c>
      <c r="J22" s="538">
        <v>1.0</v>
      </c>
      <c r="K22" s="538">
        <v>1.0</v>
      </c>
      <c r="L22" s="538">
        <v>1.0</v>
      </c>
      <c r="M22" s="538">
        <v>1.0</v>
      </c>
      <c r="N22" s="538">
        <f t="shared" ref="N22:N25" si="5">AVERAGE(D22:M22)</f>
        <v>1</v>
      </c>
      <c r="O22" s="539"/>
      <c r="P22" s="540"/>
      <c r="T22" s="260"/>
      <c r="U22" s="260"/>
      <c r="V22" s="260"/>
      <c r="W22" s="260"/>
      <c r="X22" s="260"/>
      <c r="Y22" s="260"/>
      <c r="Z22" s="260"/>
    </row>
    <row r="23" ht="13.5" customHeight="1">
      <c r="A23" s="260"/>
      <c r="B23" s="260"/>
      <c r="C23" s="537" t="s">
        <v>193</v>
      </c>
      <c r="D23" s="541">
        <f t="shared" ref="D23:M23" si="4">D10/D15</f>
        <v>85.32</v>
      </c>
      <c r="E23" s="541">
        <f t="shared" si="4"/>
        <v>107.79</v>
      </c>
      <c r="F23" s="541">
        <f t="shared" si="4"/>
        <v>102.04</v>
      </c>
      <c r="G23" s="541">
        <f t="shared" si="4"/>
        <v>120.2478571</v>
      </c>
      <c r="H23" s="541">
        <f t="shared" si="4"/>
        <v>129.3755556</v>
      </c>
      <c r="I23" s="541" t="str">
        <f t="shared" si="4"/>
        <v>#DIV/0!</v>
      </c>
      <c r="J23" s="541" t="str">
        <f t="shared" si="4"/>
        <v>#DIV/0!</v>
      </c>
      <c r="K23" s="541" t="str">
        <f t="shared" si="4"/>
        <v>#DIV/0!</v>
      </c>
      <c r="L23" s="541" t="str">
        <f t="shared" si="4"/>
        <v>#DIV/0!</v>
      </c>
      <c r="M23" s="541" t="str">
        <f t="shared" si="4"/>
        <v>#DIV/0!</v>
      </c>
      <c r="N23" s="500" t="str">
        <f t="shared" si="5"/>
        <v>#DIV/0!</v>
      </c>
      <c r="O23" s="539"/>
      <c r="P23" s="542"/>
      <c r="Q23" s="540"/>
      <c r="R23" s="540"/>
      <c r="S23" s="540"/>
      <c r="T23" s="260"/>
      <c r="U23" s="260"/>
      <c r="V23" s="260"/>
      <c r="W23" s="260"/>
      <c r="X23" s="260"/>
      <c r="Y23" s="260"/>
      <c r="Z23" s="260"/>
    </row>
    <row r="24" ht="13.5" customHeight="1">
      <c r="A24" s="260"/>
      <c r="B24" s="260"/>
      <c r="C24" s="537" t="s">
        <v>194</v>
      </c>
      <c r="D24" s="500">
        <f t="shared" ref="D24:M24" si="6">D23*D22</f>
        <v>85.32</v>
      </c>
      <c r="E24" s="500">
        <f t="shared" si="6"/>
        <v>107.79</v>
      </c>
      <c r="F24" s="500">
        <f t="shared" si="6"/>
        <v>102.04</v>
      </c>
      <c r="G24" s="500">
        <f t="shared" si="6"/>
        <v>120.2478571</v>
      </c>
      <c r="H24" s="500">
        <f t="shared" si="6"/>
        <v>129.3755556</v>
      </c>
      <c r="I24" s="500" t="str">
        <f t="shared" si="6"/>
        <v>#DIV/0!</v>
      </c>
      <c r="J24" s="500" t="str">
        <f t="shared" si="6"/>
        <v>#DIV/0!</v>
      </c>
      <c r="K24" s="500" t="str">
        <f t="shared" si="6"/>
        <v>#DIV/0!</v>
      </c>
      <c r="L24" s="500" t="str">
        <f t="shared" si="6"/>
        <v>#DIV/0!</v>
      </c>
      <c r="M24" s="500" t="str">
        <f t="shared" si="6"/>
        <v>#DIV/0!</v>
      </c>
      <c r="N24" s="500" t="str">
        <f t="shared" si="5"/>
        <v>#DIV/0!</v>
      </c>
      <c r="O24" s="539"/>
      <c r="P24" s="542"/>
      <c r="Q24" s="540"/>
      <c r="R24" s="540"/>
      <c r="S24" s="540"/>
      <c r="T24" s="260"/>
      <c r="U24" s="260"/>
      <c r="V24" s="260"/>
      <c r="W24" s="260"/>
      <c r="X24" s="260"/>
      <c r="Y24" s="260"/>
      <c r="Z24" s="260"/>
    </row>
    <row r="25" ht="13.5" customHeight="1">
      <c r="A25" s="260"/>
      <c r="B25" s="260"/>
      <c r="C25" s="537" t="s">
        <v>195</v>
      </c>
      <c r="D25" s="500">
        <f t="shared" ref="D25:G25" si="7">D24*(1+0.05)</f>
        <v>89.586</v>
      </c>
      <c r="E25" s="500">
        <f t="shared" si="7"/>
        <v>113.1795</v>
      </c>
      <c r="F25" s="500">
        <f t="shared" si="7"/>
        <v>107.142</v>
      </c>
      <c r="G25" s="500">
        <f t="shared" si="7"/>
        <v>126.26025</v>
      </c>
      <c r="H25" s="500" t="s">
        <v>433</v>
      </c>
      <c r="I25" s="500" t="str">
        <f t="shared" ref="I25:M25" si="8">I24*(1+0.05)</f>
        <v>#DIV/0!</v>
      </c>
      <c r="J25" s="500" t="str">
        <f t="shared" si="8"/>
        <v>#DIV/0!</v>
      </c>
      <c r="K25" s="500" t="str">
        <f t="shared" si="8"/>
        <v>#DIV/0!</v>
      </c>
      <c r="L25" s="500" t="str">
        <f t="shared" si="8"/>
        <v>#DIV/0!</v>
      </c>
      <c r="M25" s="500" t="str">
        <f t="shared" si="8"/>
        <v>#DIV/0!</v>
      </c>
      <c r="N25" s="500" t="str">
        <f t="shared" si="5"/>
        <v>#DIV/0!</v>
      </c>
      <c r="O25" s="543"/>
      <c r="P25" s="543"/>
      <c r="Q25" s="543"/>
      <c r="R25" s="543"/>
      <c r="S25" s="539"/>
      <c r="T25" s="260"/>
      <c r="U25" s="260"/>
      <c r="V25" s="260"/>
      <c r="W25" s="260"/>
      <c r="X25" s="260"/>
      <c r="Y25" s="260"/>
      <c r="Z25" s="260"/>
    </row>
    <row r="26" ht="13.5" customHeight="1">
      <c r="A26" s="260"/>
      <c r="B26" s="260"/>
      <c r="C26" s="544" t="s">
        <v>196</v>
      </c>
      <c r="D26" s="500"/>
      <c r="E26" s="500"/>
      <c r="F26" s="500"/>
      <c r="G26" s="500"/>
      <c r="H26" s="500"/>
      <c r="I26" s="500"/>
      <c r="J26" s="500"/>
      <c r="K26" s="500"/>
      <c r="L26" s="500"/>
      <c r="M26" s="500"/>
      <c r="N26" s="545" t="str">
        <f>3600/N25</f>
        <v>#DIV/0!</v>
      </c>
      <c r="O26" s="547"/>
      <c r="Q26" s="547"/>
      <c r="R26" s="547"/>
      <c r="S26" s="260"/>
      <c r="T26" s="260"/>
      <c r="U26" s="260"/>
      <c r="V26" s="260"/>
      <c r="W26" s="260"/>
      <c r="X26" s="260"/>
      <c r="Y26" s="260"/>
      <c r="Z26" s="260"/>
    </row>
    <row r="27" ht="13.5" customHeight="1">
      <c r="A27" s="260"/>
      <c r="B27" s="260"/>
      <c r="C27" s="260"/>
      <c r="D27" s="260"/>
      <c r="E27" s="260"/>
      <c r="F27" s="260"/>
      <c r="G27" s="260"/>
      <c r="H27" s="260"/>
      <c r="I27" s="260"/>
      <c r="J27" s="260"/>
      <c r="K27" s="260"/>
      <c r="L27" s="260"/>
      <c r="M27" s="260"/>
      <c r="N27" s="260"/>
      <c r="O27" s="547"/>
      <c r="Q27" s="547"/>
      <c r="R27" s="547"/>
      <c r="S27" s="260"/>
      <c r="T27" s="260"/>
      <c r="U27" s="260"/>
      <c r="V27" s="260"/>
      <c r="W27" s="260"/>
      <c r="X27" s="260"/>
      <c r="Y27" s="260"/>
      <c r="Z27" s="260"/>
    </row>
    <row r="28" ht="13.5" customHeight="1">
      <c r="A28" s="260"/>
      <c r="B28" s="260"/>
      <c r="C28" s="619" t="s">
        <v>357</v>
      </c>
      <c r="D28" s="521">
        <v>0.05</v>
      </c>
      <c r="E28" s="260"/>
      <c r="F28" s="260"/>
      <c r="G28" s="260"/>
      <c r="H28" s="260"/>
      <c r="I28" s="260"/>
      <c r="J28" s="260"/>
      <c r="K28" s="260"/>
      <c r="L28" s="260"/>
      <c r="M28" s="260"/>
      <c r="N28" s="260"/>
      <c r="O28" s="617"/>
      <c r="P28" s="617"/>
      <c r="Q28" s="617"/>
      <c r="R28" s="617"/>
      <c r="S28" s="260"/>
      <c r="T28" s="260"/>
      <c r="U28" s="260"/>
      <c r="V28" s="260"/>
      <c r="W28" s="260"/>
      <c r="X28" s="260"/>
      <c r="Y28" s="260"/>
      <c r="Z28" s="260"/>
    </row>
    <row r="29" ht="13.5" customHeight="1">
      <c r="A29" s="260"/>
      <c r="B29" s="260"/>
      <c r="C29" s="619" t="s">
        <v>358</v>
      </c>
      <c r="D29" s="338" t="s">
        <v>359</v>
      </c>
      <c r="E29" s="260"/>
      <c r="F29" s="260"/>
      <c r="G29" s="260"/>
      <c r="H29" s="260"/>
      <c r="I29" s="260"/>
      <c r="J29" s="260"/>
      <c r="K29" s="260"/>
      <c r="L29" s="260"/>
      <c r="M29" s="260"/>
      <c r="N29" s="260"/>
      <c r="O29" s="260"/>
      <c r="P29" s="260"/>
      <c r="Q29" s="260"/>
      <c r="R29" s="260"/>
      <c r="S29" s="260"/>
      <c r="T29" s="260"/>
      <c r="U29" s="260"/>
      <c r="V29" s="260"/>
      <c r="W29" s="260"/>
      <c r="X29" s="260"/>
      <c r="Y29" s="260"/>
      <c r="Z29" s="260"/>
    </row>
    <row r="30" ht="13.5" customHeight="1">
      <c r="A30" s="260"/>
      <c r="B30" s="260"/>
      <c r="C30" s="260"/>
      <c r="D30" s="338"/>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635"/>
      <c r="D31" s="260"/>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636"/>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2:S22"/>
    <mergeCell ref="O26:P26"/>
    <mergeCell ref="O27:P27"/>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18.29"/>
    <col customWidth="1" min="5" max="5" width="17.14"/>
    <col customWidth="1" min="6" max="6" width="17.29"/>
    <col customWidth="1" min="7" max="7" width="14.43"/>
    <col customWidth="1" min="8" max="8" width="14.57"/>
    <col customWidth="1" min="9" max="9" width="17.43"/>
    <col customWidth="1" min="10" max="10" width="16.43"/>
    <col customWidth="1" min="11" max="11" width="17.14"/>
    <col customWidth="1" min="12" max="12" width="18.0"/>
    <col customWidth="1" min="13" max="13" width="16.86"/>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434</v>
      </c>
      <c r="C4" s="468"/>
      <c r="D4" s="469"/>
      <c r="E4" s="470" t="s">
        <v>435</v>
      </c>
      <c r="F4" s="468"/>
      <c r="G4" s="469"/>
      <c r="H4" s="471" t="s">
        <v>332</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03"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494"/>
      <c r="S8" s="495"/>
      <c r="T8" s="496"/>
      <c r="U8" s="260"/>
      <c r="V8" s="260"/>
      <c r="W8" s="260"/>
      <c r="X8" s="260"/>
      <c r="Y8" s="260"/>
      <c r="Z8" s="260"/>
    </row>
    <row r="9" ht="13.5" customHeight="1">
      <c r="A9" s="497"/>
      <c r="B9" s="498">
        <v>1.0</v>
      </c>
      <c r="C9" s="499" t="str">
        <f>'11. PACKING'!C47</f>
        <v>#REF!</v>
      </c>
      <c r="D9" s="500">
        <v>310.76</v>
      </c>
      <c r="E9" s="500">
        <v>637.79</v>
      </c>
      <c r="F9" s="500">
        <v>648.58</v>
      </c>
      <c r="G9" s="500">
        <v>28.79</v>
      </c>
      <c r="H9" s="500">
        <v>65.57</v>
      </c>
      <c r="I9" s="500"/>
      <c r="J9" s="500"/>
      <c r="K9" s="500"/>
      <c r="L9" s="606"/>
      <c r="M9" s="606"/>
      <c r="N9" s="501"/>
      <c r="O9" s="485"/>
      <c r="P9" s="607">
        <f>AVERAGE(D9:M9)</f>
        <v>338.298</v>
      </c>
      <c r="Q9" s="608">
        <f>MAX(D9:M9)</f>
        <v>648.58</v>
      </c>
      <c r="R9" s="609">
        <f>P9/$P$10</f>
        <v>1</v>
      </c>
      <c r="S9" s="610"/>
      <c r="T9" s="611"/>
      <c r="U9" s="497"/>
      <c r="V9" s="497"/>
      <c r="W9" s="497"/>
      <c r="X9" s="497"/>
      <c r="Y9" s="497"/>
      <c r="Z9" s="497"/>
    </row>
    <row r="10" ht="13.5" customHeight="1">
      <c r="A10" s="260"/>
      <c r="B10" s="507"/>
      <c r="C10" s="508" t="s">
        <v>180</v>
      </c>
      <c r="D10" s="613">
        <f t="shared" ref="D10:H10" si="1">SUM(D9)</f>
        <v>310.76</v>
      </c>
      <c r="E10" s="613">
        <f t="shared" si="1"/>
        <v>637.79</v>
      </c>
      <c r="F10" s="613">
        <f t="shared" si="1"/>
        <v>648.58</v>
      </c>
      <c r="G10" s="613">
        <f t="shared" si="1"/>
        <v>28.79</v>
      </c>
      <c r="H10" s="613">
        <f t="shared" si="1"/>
        <v>65.57</v>
      </c>
      <c r="I10" s="613"/>
      <c r="J10" s="613"/>
      <c r="K10" s="613"/>
      <c r="L10" s="613"/>
      <c r="M10" s="613"/>
      <c r="N10" s="510"/>
      <c r="O10" s="479" t="s">
        <v>10</v>
      </c>
      <c r="P10" s="614">
        <f t="shared" ref="P10:Q10" si="2">SUM(P9)</f>
        <v>338.298</v>
      </c>
      <c r="Q10" s="615">
        <f t="shared" si="2"/>
        <v>648.58</v>
      </c>
      <c r="R10" s="616"/>
      <c r="S10" s="260"/>
      <c r="T10" s="260"/>
      <c r="U10" s="260"/>
      <c r="V10" s="260"/>
      <c r="W10" s="260"/>
      <c r="X10" s="260"/>
      <c r="Y10" s="260"/>
      <c r="Z10" s="260"/>
    </row>
    <row r="11" ht="13.5" customHeight="1">
      <c r="A11" s="260"/>
      <c r="B11" s="260"/>
      <c r="C11" s="514"/>
      <c r="D11" s="515"/>
      <c r="E11" s="515"/>
      <c r="F11" s="515"/>
      <c r="G11" s="515"/>
      <c r="H11" s="515"/>
      <c r="I11" s="515"/>
      <c r="J11" s="515"/>
      <c r="K11" s="515"/>
      <c r="L11" s="515"/>
      <c r="M11" s="515"/>
      <c r="N11" s="516"/>
      <c r="O11" s="479"/>
      <c r="P11" s="515"/>
      <c r="Q11" s="515"/>
      <c r="R11" s="479"/>
      <c r="S11" s="260"/>
      <c r="T11" s="260"/>
      <c r="U11" s="260"/>
      <c r="V11" s="260"/>
      <c r="W11" s="260"/>
      <c r="X11" s="260"/>
      <c r="Y11" s="260"/>
      <c r="Z11" s="260"/>
    </row>
    <row r="12" ht="13.5" customHeight="1">
      <c r="A12" s="260"/>
      <c r="B12" s="260"/>
      <c r="C12" s="518" t="s">
        <v>238</v>
      </c>
      <c r="D12" s="526" t="s">
        <v>436</v>
      </c>
      <c r="E12" s="526" t="s">
        <v>437</v>
      </c>
      <c r="F12" s="526" t="s">
        <v>438</v>
      </c>
      <c r="G12" s="637">
        <v>6.59679386138066E14</v>
      </c>
      <c r="H12" s="638">
        <v>6.55561617693435E14</v>
      </c>
      <c r="I12" s="639"/>
      <c r="J12" s="639"/>
      <c r="K12" s="639"/>
      <c r="L12" s="639"/>
      <c r="M12" s="639"/>
      <c r="N12" s="517"/>
      <c r="O12" s="479"/>
      <c r="P12" s="515"/>
      <c r="Q12" s="515"/>
      <c r="R12" s="479"/>
      <c r="S12" s="260"/>
      <c r="T12" s="260"/>
      <c r="U12" s="260"/>
      <c r="V12" s="260"/>
      <c r="W12" s="260"/>
      <c r="X12" s="260"/>
      <c r="Y12" s="260"/>
      <c r="Z12" s="260"/>
    </row>
    <row r="13" ht="13.5" customHeight="1">
      <c r="A13" s="260"/>
      <c r="B13" s="260"/>
      <c r="C13" s="518" t="s">
        <v>272</v>
      </c>
      <c r="D13" s="338" t="s">
        <v>439</v>
      </c>
      <c r="E13" s="526" t="s">
        <v>439</v>
      </c>
      <c r="F13" s="526" t="s">
        <v>439</v>
      </c>
      <c r="G13" s="526" t="s">
        <v>439</v>
      </c>
      <c r="H13" s="526" t="s">
        <v>439</v>
      </c>
      <c r="I13" s="640"/>
      <c r="J13" s="640"/>
      <c r="K13" s="640"/>
      <c r="L13" s="641"/>
      <c r="M13" s="641"/>
      <c r="N13" s="520"/>
      <c r="O13" s="479"/>
      <c r="P13" s="479"/>
      <c r="Q13" s="521"/>
      <c r="R13" s="260"/>
      <c r="S13" s="260"/>
      <c r="T13" s="260"/>
      <c r="U13" s="260"/>
      <c r="V13" s="260"/>
      <c r="W13" s="260"/>
      <c r="X13" s="260"/>
      <c r="Y13" s="260"/>
      <c r="Z13" s="260"/>
    </row>
    <row r="14" ht="13.5" customHeight="1">
      <c r="A14" s="260"/>
      <c r="B14" s="260"/>
      <c r="C14" s="518" t="s">
        <v>240</v>
      </c>
      <c r="D14" s="522">
        <v>2.0</v>
      </c>
      <c r="E14" s="522">
        <v>5.0</v>
      </c>
      <c r="F14" s="522">
        <v>3.0</v>
      </c>
      <c r="G14" s="522">
        <v>2.0</v>
      </c>
      <c r="H14" s="522">
        <v>2.0</v>
      </c>
      <c r="I14" s="523"/>
      <c r="J14" s="523"/>
      <c r="K14" s="523"/>
      <c r="L14" s="523"/>
      <c r="M14" s="523"/>
      <c r="N14" s="520"/>
      <c r="O14" s="479"/>
      <c r="P14" s="479"/>
      <c r="Q14" s="521"/>
      <c r="R14" s="260"/>
      <c r="S14" s="260"/>
      <c r="T14" s="260"/>
      <c r="U14" s="260"/>
      <c r="V14" s="260"/>
      <c r="W14" s="260"/>
      <c r="X14" s="260"/>
      <c r="Y14" s="260"/>
      <c r="Z14" s="260"/>
    </row>
    <row r="15" ht="13.5" customHeight="1">
      <c r="A15" s="260"/>
      <c r="B15" s="260"/>
      <c r="C15" s="518" t="s">
        <v>187</v>
      </c>
      <c r="D15" s="522" t="s">
        <v>440</v>
      </c>
      <c r="E15" s="522" t="s">
        <v>440</v>
      </c>
      <c r="F15" s="522" t="s">
        <v>440</v>
      </c>
      <c r="G15" s="522" t="s">
        <v>440</v>
      </c>
      <c r="H15" s="522" t="s">
        <v>440</v>
      </c>
      <c r="I15" s="522"/>
      <c r="J15" s="522"/>
      <c r="K15" s="522"/>
      <c r="L15" s="522"/>
      <c r="M15" s="522"/>
      <c r="N15" s="520"/>
      <c r="O15" s="479"/>
      <c r="P15" s="479"/>
      <c r="Q15" s="521"/>
      <c r="R15" s="260"/>
      <c r="S15" s="260"/>
      <c r="T15" s="260"/>
      <c r="U15" s="260"/>
      <c r="V15" s="260"/>
      <c r="W15" s="260"/>
      <c r="X15" s="260"/>
      <c r="Y15" s="260"/>
      <c r="Z15" s="260"/>
    </row>
    <row r="16" ht="13.5" customHeight="1">
      <c r="A16" s="260"/>
      <c r="B16" s="260"/>
      <c r="C16" s="518" t="s">
        <v>243</v>
      </c>
      <c r="D16" s="522" t="s">
        <v>441</v>
      </c>
      <c r="E16" s="526" t="s">
        <v>442</v>
      </c>
      <c r="F16" s="522" t="s">
        <v>443</v>
      </c>
      <c r="G16" s="526" t="s">
        <v>444</v>
      </c>
      <c r="H16" s="526" t="s">
        <v>445</v>
      </c>
      <c r="I16" s="526"/>
      <c r="J16" s="526"/>
      <c r="K16" s="526"/>
      <c r="L16" s="522"/>
      <c r="M16" s="522"/>
      <c r="N16" s="520"/>
      <c r="O16" s="479"/>
      <c r="P16" s="479"/>
      <c r="Q16" s="521"/>
      <c r="R16" s="260"/>
      <c r="S16" s="260"/>
      <c r="T16" s="260"/>
      <c r="U16" s="260"/>
      <c r="V16" s="260"/>
      <c r="W16" s="260"/>
      <c r="X16" s="260"/>
      <c r="Y16" s="260"/>
      <c r="Z16" s="260"/>
    </row>
    <row r="17" ht="13.5" customHeight="1">
      <c r="A17" s="260"/>
      <c r="B17" s="260"/>
      <c r="C17" s="518" t="s">
        <v>249</v>
      </c>
      <c r="D17" s="526" t="s">
        <v>446</v>
      </c>
      <c r="E17" s="526" t="s">
        <v>447</v>
      </c>
      <c r="F17" s="526" t="s">
        <v>448</v>
      </c>
      <c r="G17" s="526" t="s">
        <v>449</v>
      </c>
      <c r="H17" s="526" t="s">
        <v>450</v>
      </c>
      <c r="I17" s="526"/>
      <c r="J17" s="531"/>
      <c r="K17" s="526"/>
      <c r="L17" s="531"/>
      <c r="M17" s="523"/>
      <c r="N17" s="520"/>
      <c r="O17" s="479"/>
      <c r="P17" s="479"/>
      <c r="Q17" s="521"/>
      <c r="R17" s="260"/>
      <c r="S17" s="260"/>
      <c r="T17" s="260"/>
      <c r="U17" s="260"/>
      <c r="V17" s="260"/>
      <c r="W17" s="260"/>
      <c r="X17" s="260"/>
      <c r="Y17" s="260"/>
      <c r="Z17" s="260"/>
    </row>
    <row r="18" ht="13.5" customHeight="1">
      <c r="A18" s="260"/>
      <c r="B18" s="260"/>
      <c r="C18" s="514"/>
      <c r="D18" s="479"/>
      <c r="E18" s="479"/>
      <c r="F18" s="479"/>
      <c r="G18" s="479"/>
      <c r="H18" s="479"/>
      <c r="I18" s="479"/>
      <c r="J18" s="479"/>
      <c r="K18" s="479"/>
      <c r="L18" s="479"/>
      <c r="M18" s="479"/>
      <c r="N18" s="520"/>
      <c r="O18" s="479"/>
      <c r="P18" s="479"/>
      <c r="Q18" s="521"/>
      <c r="R18" s="260"/>
      <c r="S18" s="260"/>
      <c r="T18" s="260"/>
      <c r="U18" s="260"/>
      <c r="V18" s="260"/>
      <c r="W18" s="260"/>
      <c r="X18" s="260"/>
      <c r="Y18" s="260"/>
      <c r="Z18" s="260"/>
    </row>
    <row r="19" ht="13.5" customHeight="1">
      <c r="A19" s="532"/>
      <c r="B19" s="532"/>
      <c r="C19" s="548" t="s">
        <v>265</v>
      </c>
      <c r="D19" s="532"/>
      <c r="E19" s="532"/>
      <c r="F19" s="532"/>
      <c r="G19" s="532"/>
      <c r="H19" s="532"/>
      <c r="I19" s="532"/>
      <c r="J19" s="532"/>
      <c r="K19" s="532"/>
      <c r="L19" s="532"/>
      <c r="M19" s="532"/>
      <c r="N19" s="534" t="s">
        <v>163</v>
      </c>
      <c r="O19" s="535"/>
      <c r="P19" s="535"/>
      <c r="Q19" s="535"/>
      <c r="R19" s="536"/>
      <c r="S19" s="536"/>
      <c r="T19" s="532"/>
      <c r="U19" s="532"/>
      <c r="V19" s="532"/>
      <c r="W19" s="532"/>
      <c r="X19" s="532"/>
      <c r="Y19" s="532"/>
      <c r="Z19" s="532"/>
    </row>
    <row r="20" ht="13.5" customHeight="1">
      <c r="A20" s="260"/>
      <c r="B20" s="260"/>
      <c r="C20" s="537" t="s">
        <v>192</v>
      </c>
      <c r="D20" s="538">
        <v>1.0</v>
      </c>
      <c r="E20" s="538">
        <v>1.0</v>
      </c>
      <c r="F20" s="538">
        <v>1.0</v>
      </c>
      <c r="G20" s="538">
        <v>1.0</v>
      </c>
      <c r="H20" s="538">
        <v>1.0</v>
      </c>
      <c r="I20" s="538">
        <v>1.0</v>
      </c>
      <c r="J20" s="538">
        <v>1.0</v>
      </c>
      <c r="K20" s="538">
        <v>1.0</v>
      </c>
      <c r="L20" s="538">
        <v>1.0</v>
      </c>
      <c r="M20" s="538">
        <v>1.0</v>
      </c>
      <c r="N20" s="538">
        <f t="shared" ref="N20:N23" si="4">AVERAGE(D20:M20)</f>
        <v>1</v>
      </c>
      <c r="O20" s="539"/>
      <c r="P20" s="540"/>
      <c r="T20" s="260"/>
      <c r="U20" s="260"/>
      <c r="V20" s="260"/>
      <c r="W20" s="260"/>
      <c r="X20" s="260"/>
      <c r="Y20" s="260"/>
      <c r="Z20" s="260"/>
    </row>
    <row r="21" ht="13.5" customHeight="1">
      <c r="A21" s="260"/>
      <c r="B21" s="260"/>
      <c r="C21" s="537" t="s">
        <v>193</v>
      </c>
      <c r="D21" s="541">
        <f t="shared" ref="D21:M21" si="3">D10/D14</f>
        <v>155.38</v>
      </c>
      <c r="E21" s="541">
        <f t="shared" si="3"/>
        <v>127.558</v>
      </c>
      <c r="F21" s="541">
        <f t="shared" si="3"/>
        <v>216.1933333</v>
      </c>
      <c r="G21" s="541">
        <f t="shared" si="3"/>
        <v>14.395</v>
      </c>
      <c r="H21" s="541">
        <f t="shared" si="3"/>
        <v>32.785</v>
      </c>
      <c r="I21" s="541" t="str">
        <f t="shared" si="3"/>
        <v>#DIV/0!</v>
      </c>
      <c r="J21" s="541" t="str">
        <f t="shared" si="3"/>
        <v>#DIV/0!</v>
      </c>
      <c r="K21" s="541" t="str">
        <f t="shared" si="3"/>
        <v>#DIV/0!</v>
      </c>
      <c r="L21" s="541" t="str">
        <f t="shared" si="3"/>
        <v>#DIV/0!</v>
      </c>
      <c r="M21" s="541" t="str">
        <f t="shared" si="3"/>
        <v>#DIV/0!</v>
      </c>
      <c r="N21" s="500" t="str">
        <f t="shared" si="4"/>
        <v>#DIV/0!</v>
      </c>
      <c r="O21" s="539"/>
      <c r="P21" s="542"/>
      <c r="Q21" s="540"/>
      <c r="R21" s="540"/>
      <c r="S21" s="540"/>
      <c r="T21" s="260"/>
      <c r="U21" s="260"/>
      <c r="V21" s="260"/>
      <c r="W21" s="260"/>
      <c r="X21" s="260"/>
      <c r="Y21" s="260"/>
      <c r="Z21" s="260"/>
    </row>
    <row r="22" ht="13.5" customHeight="1">
      <c r="A22" s="260"/>
      <c r="B22" s="260"/>
      <c r="C22" s="537" t="s">
        <v>194</v>
      </c>
      <c r="D22" s="500">
        <f t="shared" ref="D22:M22" si="5">D21*D20</f>
        <v>155.38</v>
      </c>
      <c r="E22" s="500">
        <f t="shared" si="5"/>
        <v>127.558</v>
      </c>
      <c r="F22" s="500">
        <f t="shared" si="5"/>
        <v>216.1933333</v>
      </c>
      <c r="G22" s="500">
        <f t="shared" si="5"/>
        <v>14.395</v>
      </c>
      <c r="H22" s="500">
        <f t="shared" si="5"/>
        <v>32.785</v>
      </c>
      <c r="I22" s="500" t="str">
        <f t="shared" si="5"/>
        <v>#DIV/0!</v>
      </c>
      <c r="J22" s="500" t="str">
        <f t="shared" si="5"/>
        <v>#DIV/0!</v>
      </c>
      <c r="K22" s="500" t="str">
        <f t="shared" si="5"/>
        <v>#DIV/0!</v>
      </c>
      <c r="L22" s="500" t="str">
        <f t="shared" si="5"/>
        <v>#DIV/0!</v>
      </c>
      <c r="M22" s="500" t="str">
        <f t="shared" si="5"/>
        <v>#DIV/0!</v>
      </c>
      <c r="N22" s="500" t="str">
        <f t="shared" si="4"/>
        <v>#DIV/0!</v>
      </c>
      <c r="O22" s="539"/>
      <c r="P22" s="542"/>
      <c r="Q22" s="540"/>
      <c r="R22" s="540"/>
      <c r="S22" s="540"/>
      <c r="T22" s="260"/>
      <c r="U22" s="260"/>
      <c r="V22" s="260"/>
      <c r="W22" s="260"/>
      <c r="X22" s="260"/>
      <c r="Y22" s="260"/>
      <c r="Z22" s="260"/>
    </row>
    <row r="23" ht="13.5" customHeight="1">
      <c r="A23" s="260"/>
      <c r="B23" s="260"/>
      <c r="C23" s="537" t="s">
        <v>195</v>
      </c>
      <c r="D23" s="500">
        <f t="shared" ref="D23:M23" si="6">D22*(1+0.05)</f>
        <v>163.149</v>
      </c>
      <c r="E23" s="500">
        <f t="shared" si="6"/>
        <v>133.9359</v>
      </c>
      <c r="F23" s="500">
        <f t="shared" si="6"/>
        <v>227.003</v>
      </c>
      <c r="G23" s="500">
        <f t="shared" si="6"/>
        <v>15.11475</v>
      </c>
      <c r="H23" s="500">
        <f t="shared" si="6"/>
        <v>34.42425</v>
      </c>
      <c r="I23" s="500" t="str">
        <f t="shared" si="6"/>
        <v>#DIV/0!</v>
      </c>
      <c r="J23" s="500" t="str">
        <f t="shared" si="6"/>
        <v>#DIV/0!</v>
      </c>
      <c r="K23" s="500" t="str">
        <f t="shared" si="6"/>
        <v>#DIV/0!</v>
      </c>
      <c r="L23" s="500" t="str">
        <f t="shared" si="6"/>
        <v>#DIV/0!</v>
      </c>
      <c r="M23" s="500" t="str">
        <f t="shared" si="6"/>
        <v>#DIV/0!</v>
      </c>
      <c r="N23" s="500" t="str">
        <f t="shared" si="4"/>
        <v>#DIV/0!</v>
      </c>
      <c r="O23" s="543"/>
      <c r="P23" s="543"/>
      <c r="Q23" s="543"/>
      <c r="R23" s="543"/>
      <c r="S23" s="539"/>
      <c r="T23" s="260"/>
      <c r="U23" s="260"/>
      <c r="V23" s="260"/>
      <c r="W23" s="260"/>
      <c r="X23" s="260"/>
      <c r="Y23" s="260"/>
      <c r="Z23" s="260"/>
    </row>
    <row r="24" ht="13.5" customHeight="1">
      <c r="A24" s="260"/>
      <c r="B24" s="260"/>
      <c r="C24" s="544" t="s">
        <v>196</v>
      </c>
      <c r="D24" s="500"/>
      <c r="E24" s="500"/>
      <c r="F24" s="500"/>
      <c r="G24" s="500"/>
      <c r="H24" s="500"/>
      <c r="I24" s="500"/>
      <c r="J24" s="500"/>
      <c r="K24" s="500"/>
      <c r="L24" s="500"/>
      <c r="M24" s="500"/>
      <c r="N24" s="545" t="str">
        <f>3600/N23</f>
        <v>#DIV/0!</v>
      </c>
      <c r="O24" s="547"/>
      <c r="Q24" s="547"/>
      <c r="R24" s="547"/>
      <c r="S24" s="260"/>
      <c r="T24" s="260"/>
      <c r="U24" s="260"/>
      <c r="V24" s="260"/>
      <c r="W24" s="260"/>
      <c r="X24" s="260"/>
      <c r="Y24" s="260"/>
      <c r="Z24" s="260"/>
    </row>
    <row r="25" ht="13.5" customHeight="1">
      <c r="A25" s="260"/>
      <c r="B25" s="260"/>
      <c r="C25" s="260"/>
      <c r="D25" s="260"/>
      <c r="E25" s="260"/>
      <c r="F25" s="260"/>
      <c r="G25" s="260"/>
      <c r="H25" s="260"/>
      <c r="I25" s="260"/>
      <c r="J25" s="260"/>
      <c r="K25" s="260"/>
      <c r="L25" s="260"/>
      <c r="M25" s="260"/>
      <c r="N25" s="260"/>
      <c r="O25" s="547"/>
      <c r="Q25" s="547"/>
      <c r="R25" s="547"/>
      <c r="S25" s="260"/>
      <c r="T25" s="260"/>
      <c r="U25" s="260"/>
      <c r="V25" s="260"/>
      <c r="W25" s="260"/>
      <c r="X25" s="260"/>
      <c r="Y25" s="260"/>
      <c r="Z25" s="260"/>
    </row>
    <row r="26" ht="13.5" customHeight="1">
      <c r="A26" s="260"/>
      <c r="B26" s="260"/>
      <c r="C26" s="619" t="s">
        <v>357</v>
      </c>
      <c r="D26" s="521">
        <v>0.05</v>
      </c>
      <c r="E26" s="260"/>
      <c r="F26" s="260"/>
      <c r="G26" s="260"/>
      <c r="H26" s="260"/>
      <c r="I26" s="260"/>
      <c r="J26" s="260"/>
      <c r="K26" s="260"/>
      <c r="L26" s="260"/>
      <c r="M26" s="260"/>
      <c r="N26" s="260"/>
      <c r="O26" s="617"/>
      <c r="P26" s="617"/>
      <c r="Q26" s="617"/>
      <c r="R26" s="617"/>
      <c r="S26" s="260"/>
      <c r="T26" s="260"/>
      <c r="U26" s="260"/>
      <c r="V26" s="260"/>
      <c r="W26" s="260"/>
      <c r="X26" s="260"/>
      <c r="Y26" s="260"/>
      <c r="Z26" s="260"/>
    </row>
    <row r="27" ht="13.5" customHeight="1">
      <c r="A27" s="260"/>
      <c r="B27" s="260"/>
      <c r="C27" s="619" t="s">
        <v>358</v>
      </c>
      <c r="D27" s="338" t="s">
        <v>359</v>
      </c>
      <c r="E27" s="260"/>
      <c r="F27" s="260"/>
      <c r="G27" s="260"/>
      <c r="H27" s="260"/>
      <c r="I27" s="260"/>
      <c r="J27" s="260"/>
      <c r="K27" s="260"/>
      <c r="L27" s="260"/>
      <c r="M27" s="260"/>
      <c r="N27" s="260"/>
      <c r="O27" s="260"/>
      <c r="P27" s="260"/>
      <c r="Q27" s="260"/>
      <c r="R27" s="260"/>
      <c r="S27" s="260"/>
      <c r="T27" s="260"/>
      <c r="U27" s="260"/>
      <c r="V27" s="260"/>
      <c r="W27" s="260"/>
      <c r="X27" s="260"/>
      <c r="Y27" s="260"/>
      <c r="Z27" s="260"/>
    </row>
    <row r="28" ht="13.5" customHeight="1">
      <c r="A28" s="260"/>
      <c r="B28" s="260"/>
      <c r="C28" s="260"/>
      <c r="D28" s="338"/>
      <c r="E28" s="260"/>
      <c r="F28" s="260"/>
      <c r="G28" s="260"/>
      <c r="H28" s="260"/>
      <c r="I28" s="260"/>
      <c r="J28" s="260"/>
      <c r="K28" s="260"/>
      <c r="L28" s="260"/>
      <c r="M28" s="260"/>
      <c r="N28" s="260"/>
      <c r="O28" s="260"/>
      <c r="P28" s="260"/>
      <c r="Q28" s="260"/>
      <c r="R28" s="260"/>
      <c r="S28" s="260"/>
      <c r="T28" s="260"/>
      <c r="U28" s="260"/>
      <c r="V28" s="260"/>
      <c r="W28" s="260"/>
      <c r="X28" s="260"/>
      <c r="Y28" s="260"/>
      <c r="Z28" s="260"/>
    </row>
    <row r="29" ht="13.5" customHeight="1">
      <c r="A29" s="260"/>
      <c r="B29" s="260"/>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row>
    <row r="30" ht="13.5" customHeight="1">
      <c r="A30" s="260"/>
      <c r="B30" s="260"/>
      <c r="C30" s="260"/>
      <c r="D30" s="260"/>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260"/>
      <c r="D31" s="260"/>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H4:J5"/>
    <mergeCell ref="K4:N5"/>
    <mergeCell ref="P20:S20"/>
    <mergeCell ref="O24:P24"/>
    <mergeCell ref="O25:P25"/>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5" width="17.29"/>
    <col customWidth="1" min="6" max="7" width="17.43"/>
    <col customWidth="1" min="8" max="8" width="14.43"/>
    <col customWidth="1" min="9" max="13" width="13.57"/>
    <col customWidth="1" min="14" max="14" width="17.71"/>
    <col customWidth="1" min="15" max="15" width="8.71"/>
    <col customWidth="1" min="16" max="18" width="12.57"/>
    <col customWidth="1" min="19" max="20" width="41.57"/>
    <col customWidth="1" min="21"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156</v>
      </c>
      <c r="L3" s="463"/>
      <c r="M3" s="463"/>
      <c r="N3" s="466"/>
      <c r="O3" s="260"/>
      <c r="P3" s="260"/>
      <c r="Q3" s="260"/>
      <c r="R3" s="260"/>
      <c r="S3" s="260"/>
      <c r="T3" s="260"/>
      <c r="U3" s="260"/>
      <c r="V3" s="260"/>
      <c r="W3" s="260"/>
      <c r="X3" s="260"/>
      <c r="Y3" s="260"/>
      <c r="Z3" s="260"/>
    </row>
    <row r="4" ht="15.0" customHeight="1">
      <c r="A4" s="260"/>
      <c r="B4" s="467" t="s">
        <v>434</v>
      </c>
      <c r="C4" s="468"/>
      <c r="D4" s="469"/>
      <c r="E4" s="470" t="s">
        <v>435</v>
      </c>
      <c r="F4" s="468"/>
      <c r="G4" s="469"/>
      <c r="H4" s="471" t="s">
        <v>332</v>
      </c>
      <c r="I4" s="468"/>
      <c r="J4" s="469"/>
      <c r="K4" s="472"/>
      <c r="L4" s="468"/>
      <c r="M4" s="468"/>
      <c r="N4" s="473"/>
      <c r="O4" s="260"/>
      <c r="P4" s="260"/>
      <c r="Q4" s="260"/>
      <c r="R4" s="260"/>
      <c r="S4" s="260"/>
      <c r="T4" s="260"/>
      <c r="U4" s="260"/>
      <c r="V4" s="260"/>
      <c r="W4" s="260"/>
      <c r="X4" s="260"/>
      <c r="Y4" s="260"/>
      <c r="Z4" s="260"/>
    </row>
    <row r="5" ht="17.25"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03" t="s">
        <v>165</v>
      </c>
      <c r="S7" s="604" t="s">
        <v>166</v>
      </c>
      <c r="T7" s="605" t="s">
        <v>167</v>
      </c>
      <c r="U7" s="260"/>
      <c r="V7" s="260"/>
      <c r="W7" s="260"/>
      <c r="X7" s="260"/>
      <c r="Y7" s="260"/>
      <c r="Z7" s="260"/>
    </row>
    <row r="8" ht="16.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494"/>
      <c r="S8" s="495"/>
      <c r="T8" s="496"/>
      <c r="U8" s="260"/>
      <c r="V8" s="260"/>
      <c r="W8" s="260"/>
      <c r="X8" s="260"/>
      <c r="Y8" s="260"/>
      <c r="Z8" s="260"/>
    </row>
    <row r="9" ht="13.5" customHeight="1">
      <c r="A9" s="497"/>
      <c r="B9" s="498">
        <v>1.0</v>
      </c>
      <c r="C9" s="499" t="s">
        <v>451</v>
      </c>
      <c r="D9" s="500">
        <v>715.76</v>
      </c>
      <c r="E9" s="500">
        <v>712.21</v>
      </c>
      <c r="F9" s="500">
        <v>715.85</v>
      </c>
      <c r="G9" s="500">
        <v>345.23</v>
      </c>
      <c r="H9" s="500">
        <v>1036.77</v>
      </c>
      <c r="I9" s="500"/>
      <c r="J9" s="500"/>
      <c r="K9" s="500"/>
      <c r="L9" s="606"/>
      <c r="M9" s="606"/>
      <c r="N9" s="501">
        <f t="shared" ref="N9:N10" si="2">SUM(D9:H9)</f>
        <v>3525.82</v>
      </c>
      <c r="O9" s="485"/>
      <c r="P9" s="607">
        <f>AVERAGE(D9:M9)</f>
        <v>705.164</v>
      </c>
      <c r="Q9" s="608">
        <f>MAX(D9:M9)</f>
        <v>1036.77</v>
      </c>
      <c r="R9" s="609">
        <f>P9/$P$10</f>
        <v>1</v>
      </c>
      <c r="S9" s="610" t="s">
        <v>334</v>
      </c>
      <c r="T9" s="611"/>
      <c r="U9" s="497"/>
      <c r="V9" s="497"/>
      <c r="W9" s="497"/>
      <c r="X9" s="497"/>
      <c r="Y9" s="497"/>
      <c r="Z9" s="497"/>
    </row>
    <row r="10" ht="13.5" customHeight="1">
      <c r="A10" s="260"/>
      <c r="B10" s="507"/>
      <c r="C10" s="508" t="s">
        <v>180</v>
      </c>
      <c r="D10" s="613">
        <f t="shared" ref="D10:M10" si="1">SUM(D9)</f>
        <v>715.76</v>
      </c>
      <c r="E10" s="613">
        <f t="shared" si="1"/>
        <v>712.21</v>
      </c>
      <c r="F10" s="613">
        <f t="shared" si="1"/>
        <v>715.85</v>
      </c>
      <c r="G10" s="613">
        <f t="shared" si="1"/>
        <v>345.23</v>
      </c>
      <c r="H10" s="613">
        <f t="shared" si="1"/>
        <v>1036.77</v>
      </c>
      <c r="I10" s="613">
        <f t="shared" si="1"/>
        <v>0</v>
      </c>
      <c r="J10" s="613">
        <f t="shared" si="1"/>
        <v>0</v>
      </c>
      <c r="K10" s="613">
        <f t="shared" si="1"/>
        <v>0</v>
      </c>
      <c r="L10" s="613">
        <f t="shared" si="1"/>
        <v>0</v>
      </c>
      <c r="M10" s="613">
        <f t="shared" si="1"/>
        <v>0</v>
      </c>
      <c r="N10" s="510">
        <f t="shared" si="2"/>
        <v>3525.82</v>
      </c>
      <c r="O10" s="479" t="s">
        <v>10</v>
      </c>
      <c r="P10" s="614">
        <f t="shared" ref="P10:Q10" si="3">SUM(P9)</f>
        <v>705.164</v>
      </c>
      <c r="Q10" s="615">
        <f t="shared" si="3"/>
        <v>1036.77</v>
      </c>
      <c r="R10" s="616"/>
      <c r="S10" s="260"/>
      <c r="T10" s="260"/>
      <c r="U10" s="260"/>
      <c r="V10" s="260"/>
      <c r="W10" s="260"/>
      <c r="X10" s="260"/>
      <c r="Y10" s="260"/>
      <c r="Z10" s="260"/>
    </row>
    <row r="11" ht="13.5" customHeight="1">
      <c r="A11" s="260"/>
      <c r="B11" s="260"/>
      <c r="C11" s="514"/>
      <c r="D11" s="515"/>
      <c r="E11" s="515"/>
      <c r="F11" s="515"/>
      <c r="G11" s="515"/>
      <c r="H11" s="515"/>
      <c r="I11" s="515"/>
      <c r="J11" s="515"/>
      <c r="K11" s="515"/>
      <c r="L11" s="515"/>
      <c r="M11" s="515"/>
      <c r="N11" s="516">
        <f>N10/60</f>
        <v>58.76366667</v>
      </c>
      <c r="O11" s="479"/>
      <c r="P11" s="515"/>
      <c r="Q11" s="515"/>
      <c r="R11" s="479"/>
      <c r="S11" s="260"/>
      <c r="T11" s="260"/>
      <c r="U11" s="260"/>
      <c r="V11" s="260"/>
      <c r="W11" s="260"/>
      <c r="X11" s="260"/>
      <c r="Y11" s="260"/>
      <c r="Z11" s="260"/>
    </row>
    <row r="12" ht="13.5" customHeight="1">
      <c r="A12" s="260"/>
      <c r="B12" s="260"/>
      <c r="C12" s="514"/>
      <c r="D12" s="515"/>
      <c r="E12" s="515"/>
      <c r="F12" s="515"/>
      <c r="G12" s="515"/>
      <c r="H12" s="515"/>
      <c r="I12" s="515"/>
      <c r="J12" s="515"/>
      <c r="K12" s="515"/>
      <c r="L12" s="515"/>
      <c r="M12" s="515"/>
      <c r="N12" s="517" t="s">
        <v>182</v>
      </c>
      <c r="O12" s="479"/>
      <c r="P12" s="515"/>
      <c r="Q12" s="515"/>
      <c r="R12" s="479"/>
      <c r="S12" s="260"/>
      <c r="T12" s="260"/>
      <c r="U12" s="260"/>
      <c r="V12" s="260"/>
      <c r="W12" s="260"/>
      <c r="X12" s="260"/>
      <c r="Y12" s="260"/>
      <c r="Z12" s="260"/>
    </row>
    <row r="13" ht="7.5" customHeight="1">
      <c r="A13" s="260"/>
      <c r="B13" s="260"/>
      <c r="C13" s="514"/>
      <c r="D13" s="515"/>
      <c r="E13" s="515"/>
      <c r="F13" s="515"/>
      <c r="G13" s="515"/>
      <c r="H13" s="515"/>
      <c r="I13" s="515"/>
      <c r="J13" s="515"/>
      <c r="K13" s="515"/>
      <c r="L13" s="515"/>
      <c r="M13" s="515"/>
      <c r="N13" s="516"/>
      <c r="O13" s="479"/>
      <c r="P13" s="515"/>
      <c r="Q13" s="515"/>
      <c r="R13" s="479"/>
      <c r="S13" s="260"/>
      <c r="T13" s="260"/>
      <c r="U13" s="260"/>
      <c r="V13" s="260"/>
      <c r="W13" s="260"/>
      <c r="X13" s="260"/>
      <c r="Y13" s="260"/>
      <c r="Z13" s="260"/>
    </row>
    <row r="14" ht="13.5" customHeight="1">
      <c r="A14" s="260"/>
      <c r="B14" s="260"/>
      <c r="C14" s="518" t="s">
        <v>452</v>
      </c>
      <c r="D14" s="522"/>
      <c r="E14" s="522"/>
      <c r="F14" s="522"/>
      <c r="G14" s="522"/>
      <c r="H14" s="522"/>
      <c r="I14" s="523"/>
      <c r="J14" s="523"/>
      <c r="K14" s="523"/>
      <c r="L14" s="523"/>
      <c r="M14" s="523"/>
      <c r="N14" s="520"/>
      <c r="O14" s="479"/>
      <c r="P14" s="479"/>
      <c r="Q14" s="521"/>
      <c r="R14" s="260"/>
      <c r="S14" s="260"/>
      <c r="T14" s="260"/>
      <c r="U14" s="260"/>
      <c r="V14" s="260"/>
      <c r="W14" s="260"/>
      <c r="X14" s="260"/>
      <c r="Y14" s="260"/>
      <c r="Z14" s="260"/>
    </row>
    <row r="15" ht="13.5" customHeight="1">
      <c r="A15" s="260"/>
      <c r="B15" s="260"/>
      <c r="C15" s="518" t="s">
        <v>238</v>
      </c>
      <c r="D15" s="526" t="s">
        <v>453</v>
      </c>
      <c r="E15" s="526" t="s">
        <v>454</v>
      </c>
      <c r="F15" s="526" t="s">
        <v>455</v>
      </c>
      <c r="G15" s="526" t="s">
        <v>456</v>
      </c>
      <c r="H15" s="637">
        <v>6.55655450288554E14</v>
      </c>
      <c r="I15" s="526"/>
      <c r="J15" s="526"/>
      <c r="K15" s="526"/>
      <c r="L15" s="531"/>
      <c r="M15" s="531"/>
      <c r="N15" s="520"/>
      <c r="O15" s="479"/>
      <c r="P15" s="479"/>
      <c r="Q15" s="521"/>
      <c r="R15" s="260"/>
      <c r="S15" s="260"/>
      <c r="T15" s="260"/>
      <c r="U15" s="260"/>
      <c r="V15" s="260"/>
      <c r="W15" s="260"/>
      <c r="X15" s="260"/>
      <c r="Y15" s="260"/>
      <c r="Z15" s="260"/>
    </row>
    <row r="16" ht="13.5" customHeight="1">
      <c r="A16" s="260"/>
      <c r="B16" s="260"/>
      <c r="C16" s="518" t="s">
        <v>240</v>
      </c>
      <c r="D16" s="522">
        <v>26.0</v>
      </c>
      <c r="E16" s="522">
        <v>20.0</v>
      </c>
      <c r="F16" s="522">
        <v>44.0</v>
      </c>
      <c r="G16" s="522">
        <v>34.0</v>
      </c>
      <c r="H16" s="522">
        <v>9.0</v>
      </c>
      <c r="I16" s="523"/>
      <c r="J16" s="523"/>
      <c r="K16" s="523"/>
      <c r="L16" s="523"/>
      <c r="M16" s="523"/>
      <c r="N16" s="520"/>
      <c r="O16" s="479"/>
      <c r="P16" s="479"/>
      <c r="Q16" s="521"/>
      <c r="R16" s="260"/>
      <c r="S16" s="260"/>
      <c r="T16" s="260"/>
      <c r="U16" s="260"/>
      <c r="V16" s="260"/>
      <c r="W16" s="260"/>
      <c r="X16" s="260"/>
      <c r="Y16" s="260"/>
      <c r="Z16" s="260"/>
    </row>
    <row r="17" ht="13.5" customHeight="1">
      <c r="A17" s="260"/>
      <c r="B17" s="260"/>
      <c r="C17" s="518" t="s">
        <v>457</v>
      </c>
      <c r="D17" s="522">
        <v>6.0</v>
      </c>
      <c r="E17" s="522">
        <v>2.0</v>
      </c>
      <c r="F17" s="522">
        <v>4.0</v>
      </c>
      <c r="G17" s="522">
        <v>16.0</v>
      </c>
      <c r="H17" s="522">
        <v>4.0</v>
      </c>
      <c r="I17" s="523"/>
      <c r="J17" s="523"/>
      <c r="K17" s="523"/>
      <c r="L17" s="523"/>
      <c r="M17" s="523"/>
      <c r="N17" s="520"/>
      <c r="O17" s="479"/>
      <c r="P17" s="479"/>
      <c r="Q17" s="521"/>
      <c r="R17" s="260"/>
      <c r="S17" s="260"/>
      <c r="T17" s="260"/>
      <c r="U17" s="260"/>
      <c r="V17" s="260"/>
      <c r="W17" s="260"/>
      <c r="X17" s="260"/>
      <c r="Y17" s="260"/>
      <c r="Z17" s="260"/>
    </row>
    <row r="18" ht="13.5" customHeight="1">
      <c r="A18" s="260"/>
      <c r="B18" s="260"/>
      <c r="C18" s="518" t="s">
        <v>187</v>
      </c>
      <c r="D18" s="522" t="s">
        <v>242</v>
      </c>
      <c r="E18" s="522" t="s">
        <v>242</v>
      </c>
      <c r="F18" s="522" t="s">
        <v>242</v>
      </c>
      <c r="G18" s="522" t="s">
        <v>242</v>
      </c>
      <c r="H18" s="522" t="s">
        <v>242</v>
      </c>
      <c r="I18" s="522"/>
      <c r="J18" s="522"/>
      <c r="K18" s="522"/>
      <c r="L18" s="522"/>
      <c r="M18" s="522"/>
      <c r="N18" s="520"/>
      <c r="O18" s="479"/>
      <c r="P18" s="479"/>
      <c r="Q18" s="521"/>
      <c r="R18" s="260"/>
      <c r="S18" s="260"/>
      <c r="T18" s="260"/>
      <c r="U18" s="260"/>
      <c r="V18" s="260"/>
      <c r="W18" s="260"/>
      <c r="X18" s="260"/>
      <c r="Y18" s="260"/>
      <c r="Z18" s="260"/>
    </row>
    <row r="19" ht="13.5" customHeight="1">
      <c r="A19" s="260"/>
      <c r="B19" s="260"/>
      <c r="C19" s="518" t="s">
        <v>243</v>
      </c>
      <c r="D19" s="522" t="s">
        <v>458</v>
      </c>
      <c r="E19" s="522" t="s">
        <v>458</v>
      </c>
      <c r="F19" s="522" t="s">
        <v>458</v>
      </c>
      <c r="G19" s="526" t="s">
        <v>459</v>
      </c>
      <c r="H19" s="526" t="s">
        <v>460</v>
      </c>
      <c r="I19" s="526"/>
      <c r="J19" s="526"/>
      <c r="K19" s="526"/>
      <c r="L19" s="522"/>
      <c r="M19" s="522"/>
      <c r="N19" s="520"/>
      <c r="O19" s="479"/>
      <c r="P19" s="479"/>
      <c r="Q19" s="521"/>
      <c r="R19" s="260"/>
      <c r="S19" s="260"/>
      <c r="T19" s="260"/>
      <c r="U19" s="260"/>
      <c r="V19" s="260"/>
      <c r="W19" s="260"/>
      <c r="X19" s="260"/>
      <c r="Y19" s="260"/>
      <c r="Z19" s="260"/>
    </row>
    <row r="20" ht="13.5" customHeight="1">
      <c r="A20" s="260"/>
      <c r="B20" s="260"/>
      <c r="C20" s="518" t="s">
        <v>249</v>
      </c>
      <c r="D20" s="526" t="s">
        <v>461</v>
      </c>
      <c r="E20" s="522" t="s">
        <v>462</v>
      </c>
      <c r="F20" s="526" t="s">
        <v>463</v>
      </c>
      <c r="G20" s="526" t="s">
        <v>464</v>
      </c>
      <c r="H20" s="526" t="s">
        <v>465</v>
      </c>
      <c r="I20" s="526"/>
      <c r="J20" s="531"/>
      <c r="K20" s="526"/>
      <c r="L20" s="531"/>
      <c r="M20" s="523"/>
      <c r="N20" s="520"/>
      <c r="O20" s="479"/>
      <c r="P20" s="479"/>
      <c r="Q20" s="521"/>
      <c r="R20" s="260"/>
      <c r="S20" s="260"/>
      <c r="T20" s="260"/>
      <c r="U20" s="260"/>
      <c r="V20" s="260"/>
      <c r="W20" s="260"/>
      <c r="X20" s="260"/>
      <c r="Y20" s="260"/>
      <c r="Z20" s="260"/>
    </row>
    <row r="21" ht="13.5" customHeight="1">
      <c r="A21" s="260"/>
      <c r="B21" s="260"/>
      <c r="C21" s="514"/>
      <c r="D21" s="479"/>
      <c r="E21" s="479"/>
      <c r="F21" s="479"/>
      <c r="G21" s="479"/>
      <c r="H21" s="479"/>
      <c r="I21" s="479"/>
      <c r="J21" s="479"/>
      <c r="K21" s="479"/>
      <c r="L21" s="479"/>
      <c r="M21" s="479"/>
      <c r="N21" s="520"/>
      <c r="O21" s="479"/>
      <c r="P21" s="479"/>
      <c r="Q21" s="521"/>
      <c r="R21" s="260"/>
      <c r="S21" s="260"/>
      <c r="T21" s="260"/>
      <c r="U21" s="260"/>
      <c r="V21" s="260"/>
      <c r="W21" s="260"/>
      <c r="X21" s="260"/>
      <c r="Y21" s="260"/>
      <c r="Z21" s="260"/>
    </row>
    <row r="22" ht="13.5" customHeight="1">
      <c r="A22" s="532"/>
      <c r="B22" s="532"/>
      <c r="C22" s="548" t="s">
        <v>286</v>
      </c>
      <c r="D22" s="532"/>
      <c r="E22" s="532"/>
      <c r="F22" s="532"/>
      <c r="G22" s="532"/>
      <c r="H22" s="532"/>
      <c r="I22" s="532"/>
      <c r="J22" s="532"/>
      <c r="K22" s="532"/>
      <c r="L22" s="532"/>
      <c r="M22" s="532"/>
      <c r="N22" s="534" t="s">
        <v>163</v>
      </c>
      <c r="O22" s="535"/>
      <c r="P22" s="535"/>
      <c r="Q22" s="535"/>
      <c r="R22" s="536"/>
      <c r="S22" s="536"/>
      <c r="T22" s="532"/>
      <c r="U22" s="532"/>
      <c r="V22" s="532"/>
      <c r="W22" s="532"/>
      <c r="X22" s="532"/>
      <c r="Y22" s="532"/>
      <c r="Z22" s="532"/>
    </row>
    <row r="23" ht="13.5" customHeight="1">
      <c r="A23" s="260"/>
      <c r="B23" s="260"/>
      <c r="C23" s="537" t="s">
        <v>192</v>
      </c>
      <c r="D23" s="538">
        <v>1.0</v>
      </c>
      <c r="E23" s="538">
        <v>1.0</v>
      </c>
      <c r="F23" s="538">
        <v>1.0</v>
      </c>
      <c r="G23" s="538">
        <v>1.0</v>
      </c>
      <c r="H23" s="538">
        <v>1.0</v>
      </c>
      <c r="I23" s="538">
        <v>1.0</v>
      </c>
      <c r="J23" s="538">
        <v>1.0</v>
      </c>
      <c r="K23" s="538">
        <v>1.0</v>
      </c>
      <c r="L23" s="538">
        <v>1.0</v>
      </c>
      <c r="M23" s="538">
        <v>1.0</v>
      </c>
      <c r="N23" s="538">
        <f t="shared" ref="N23:N26" si="5">AVERAGE(D23:M23)</f>
        <v>1</v>
      </c>
      <c r="O23" s="539"/>
      <c r="P23" s="540"/>
      <c r="T23" s="260"/>
      <c r="U23" s="260"/>
      <c r="V23" s="260"/>
      <c r="W23" s="260"/>
      <c r="X23" s="260"/>
      <c r="Y23" s="260"/>
      <c r="Z23" s="260"/>
    </row>
    <row r="24" ht="13.5" customHeight="1">
      <c r="A24" s="260"/>
      <c r="B24" s="260"/>
      <c r="C24" s="537" t="s">
        <v>193</v>
      </c>
      <c r="D24" s="541">
        <f t="shared" ref="D24:M24" si="4">D10/D16</f>
        <v>27.52923077</v>
      </c>
      <c r="E24" s="541">
        <f t="shared" si="4"/>
        <v>35.6105</v>
      </c>
      <c r="F24" s="541">
        <f t="shared" si="4"/>
        <v>16.26931818</v>
      </c>
      <c r="G24" s="541">
        <f t="shared" si="4"/>
        <v>10.15382353</v>
      </c>
      <c r="H24" s="541">
        <f t="shared" si="4"/>
        <v>115.1966667</v>
      </c>
      <c r="I24" s="541" t="str">
        <f t="shared" si="4"/>
        <v>#DIV/0!</v>
      </c>
      <c r="J24" s="541" t="str">
        <f t="shared" si="4"/>
        <v>#DIV/0!</v>
      </c>
      <c r="K24" s="541" t="str">
        <f t="shared" si="4"/>
        <v>#DIV/0!</v>
      </c>
      <c r="L24" s="541" t="str">
        <f t="shared" si="4"/>
        <v>#DIV/0!</v>
      </c>
      <c r="M24" s="541" t="str">
        <f t="shared" si="4"/>
        <v>#DIV/0!</v>
      </c>
      <c r="N24" s="500" t="str">
        <f t="shared" si="5"/>
        <v>#DIV/0!</v>
      </c>
      <c r="O24" s="539"/>
      <c r="P24" s="542"/>
      <c r="Q24" s="540"/>
      <c r="R24" s="540"/>
      <c r="S24" s="540"/>
      <c r="T24" s="260"/>
      <c r="U24" s="260"/>
      <c r="V24" s="260"/>
      <c r="W24" s="260"/>
      <c r="X24" s="260"/>
      <c r="Y24" s="260"/>
      <c r="Z24" s="260"/>
    </row>
    <row r="25" ht="13.5" customHeight="1">
      <c r="A25" s="260"/>
      <c r="B25" s="260"/>
      <c r="C25" s="537" t="s">
        <v>194</v>
      </c>
      <c r="D25" s="500">
        <f t="shared" ref="D25:M25" si="6">D24*D23</f>
        <v>27.52923077</v>
      </c>
      <c r="E25" s="500">
        <f t="shared" si="6"/>
        <v>35.6105</v>
      </c>
      <c r="F25" s="500">
        <f t="shared" si="6"/>
        <v>16.26931818</v>
      </c>
      <c r="G25" s="500">
        <f t="shared" si="6"/>
        <v>10.15382353</v>
      </c>
      <c r="H25" s="500">
        <f t="shared" si="6"/>
        <v>115.1966667</v>
      </c>
      <c r="I25" s="500" t="str">
        <f t="shared" si="6"/>
        <v>#DIV/0!</v>
      </c>
      <c r="J25" s="500" t="str">
        <f t="shared" si="6"/>
        <v>#DIV/0!</v>
      </c>
      <c r="K25" s="500" t="str">
        <f t="shared" si="6"/>
        <v>#DIV/0!</v>
      </c>
      <c r="L25" s="500" t="str">
        <f t="shared" si="6"/>
        <v>#DIV/0!</v>
      </c>
      <c r="M25" s="500" t="str">
        <f t="shared" si="6"/>
        <v>#DIV/0!</v>
      </c>
      <c r="N25" s="500" t="str">
        <f t="shared" si="5"/>
        <v>#DIV/0!</v>
      </c>
      <c r="O25" s="539"/>
      <c r="P25" s="542"/>
      <c r="Q25" s="540"/>
      <c r="R25" s="540"/>
      <c r="S25" s="540"/>
      <c r="T25" s="260"/>
      <c r="U25" s="260"/>
      <c r="V25" s="260"/>
      <c r="W25" s="260"/>
      <c r="X25" s="260"/>
      <c r="Y25" s="260"/>
      <c r="Z25" s="260"/>
    </row>
    <row r="26" ht="13.5" customHeight="1">
      <c r="A26" s="260"/>
      <c r="B26" s="260"/>
      <c r="C26" s="537" t="s">
        <v>195</v>
      </c>
      <c r="D26" s="500">
        <f t="shared" ref="D26:M26" si="7">D25*(1+0.05)</f>
        <v>28.90569231</v>
      </c>
      <c r="E26" s="500">
        <f t="shared" si="7"/>
        <v>37.391025</v>
      </c>
      <c r="F26" s="500">
        <f t="shared" si="7"/>
        <v>17.08278409</v>
      </c>
      <c r="G26" s="500">
        <f t="shared" si="7"/>
        <v>10.66151471</v>
      </c>
      <c r="H26" s="500">
        <f t="shared" si="7"/>
        <v>120.9565</v>
      </c>
      <c r="I26" s="500" t="str">
        <f t="shared" si="7"/>
        <v>#DIV/0!</v>
      </c>
      <c r="J26" s="500" t="str">
        <f t="shared" si="7"/>
        <v>#DIV/0!</v>
      </c>
      <c r="K26" s="500" t="str">
        <f t="shared" si="7"/>
        <v>#DIV/0!</v>
      </c>
      <c r="L26" s="500" t="str">
        <f t="shared" si="7"/>
        <v>#DIV/0!</v>
      </c>
      <c r="M26" s="500" t="str">
        <f t="shared" si="7"/>
        <v>#DIV/0!</v>
      </c>
      <c r="N26" s="500" t="str">
        <f t="shared" si="5"/>
        <v>#DIV/0!</v>
      </c>
      <c r="O26" s="543"/>
      <c r="P26" s="543"/>
      <c r="Q26" s="543"/>
      <c r="R26" s="543"/>
      <c r="S26" s="539"/>
      <c r="T26" s="260"/>
      <c r="U26" s="260"/>
      <c r="V26" s="260"/>
      <c r="W26" s="260"/>
      <c r="X26" s="260"/>
      <c r="Y26" s="260"/>
      <c r="Z26" s="260"/>
    </row>
    <row r="27" ht="13.5" customHeight="1">
      <c r="A27" s="260"/>
      <c r="B27" s="260"/>
      <c r="C27" s="544" t="s">
        <v>196</v>
      </c>
      <c r="D27" s="500"/>
      <c r="E27" s="500"/>
      <c r="F27" s="500"/>
      <c r="G27" s="500"/>
      <c r="H27" s="500"/>
      <c r="I27" s="500"/>
      <c r="J27" s="500"/>
      <c r="K27" s="500"/>
      <c r="L27" s="500"/>
      <c r="M27" s="500"/>
      <c r="N27" s="545" t="str">
        <f>3600/N26</f>
        <v>#DIV/0!</v>
      </c>
      <c r="O27" s="547"/>
      <c r="Q27" s="547"/>
      <c r="R27" s="547"/>
      <c r="S27" s="260"/>
      <c r="T27" s="260"/>
      <c r="U27" s="260"/>
      <c r="V27" s="260"/>
      <c r="W27" s="260"/>
      <c r="X27" s="260"/>
      <c r="Y27" s="260"/>
      <c r="Z27" s="260"/>
    </row>
    <row r="28" ht="13.5" customHeight="1">
      <c r="A28" s="260"/>
      <c r="B28" s="260"/>
      <c r="C28" s="260"/>
      <c r="D28" s="260"/>
      <c r="E28" s="260"/>
      <c r="F28" s="260"/>
      <c r="G28" s="260"/>
      <c r="H28" s="260"/>
      <c r="I28" s="260"/>
      <c r="J28" s="260"/>
      <c r="K28" s="260"/>
      <c r="L28" s="260"/>
      <c r="M28" s="260"/>
      <c r="N28" s="260"/>
      <c r="O28" s="547"/>
      <c r="Q28" s="547"/>
      <c r="R28" s="547"/>
      <c r="S28" s="260"/>
      <c r="T28" s="260"/>
      <c r="U28" s="260"/>
      <c r="V28" s="260"/>
      <c r="W28" s="260"/>
      <c r="X28" s="260"/>
      <c r="Y28" s="260"/>
      <c r="Z28" s="260"/>
    </row>
    <row r="29" ht="13.5" customHeight="1">
      <c r="A29" s="260"/>
      <c r="B29" s="260"/>
      <c r="C29" s="619" t="s">
        <v>357</v>
      </c>
      <c r="D29" s="521">
        <v>0.05</v>
      </c>
      <c r="E29" s="260"/>
      <c r="F29" s="260"/>
      <c r="G29" s="260"/>
      <c r="H29" s="260"/>
      <c r="I29" s="260"/>
      <c r="J29" s="260"/>
      <c r="K29" s="260"/>
      <c r="L29" s="260"/>
      <c r="M29" s="260"/>
      <c r="N29" s="260"/>
      <c r="O29" s="617"/>
      <c r="P29" s="617"/>
      <c r="Q29" s="617"/>
      <c r="R29" s="617"/>
      <c r="S29" s="260"/>
      <c r="T29" s="260"/>
      <c r="U29" s="260"/>
      <c r="V29" s="260"/>
      <c r="W29" s="260"/>
      <c r="X29" s="260"/>
      <c r="Y29" s="260"/>
      <c r="Z29" s="260"/>
    </row>
    <row r="30" ht="13.5" customHeight="1">
      <c r="A30" s="260"/>
      <c r="B30" s="260"/>
      <c r="C30" s="619" t="s">
        <v>358</v>
      </c>
      <c r="D30" s="338" t="s">
        <v>359</v>
      </c>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260"/>
      <c r="D31" s="338"/>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532"/>
      <c r="B32" s="532"/>
      <c r="C32" s="548" t="s">
        <v>265</v>
      </c>
      <c r="D32" s="532"/>
      <c r="E32" s="532"/>
      <c r="F32" s="532"/>
      <c r="G32" s="532"/>
      <c r="H32" s="532"/>
      <c r="I32" s="532"/>
      <c r="J32" s="532"/>
      <c r="K32" s="532"/>
      <c r="L32" s="532"/>
      <c r="M32" s="532"/>
      <c r="N32" s="534" t="s">
        <v>163</v>
      </c>
      <c r="O32" s="535"/>
      <c r="P32" s="535"/>
      <c r="Q32" s="535"/>
      <c r="R32" s="536"/>
      <c r="S32" s="536"/>
      <c r="T32" s="532"/>
      <c r="U32" s="532"/>
      <c r="V32" s="532"/>
      <c r="W32" s="532"/>
      <c r="X32" s="532"/>
      <c r="Y32" s="532"/>
      <c r="Z32" s="532"/>
    </row>
    <row r="33" ht="13.5" customHeight="1">
      <c r="A33" s="260"/>
      <c r="B33" s="260"/>
      <c r="C33" s="537" t="s">
        <v>192</v>
      </c>
      <c r="D33" s="538">
        <v>1.0</v>
      </c>
      <c r="E33" s="538">
        <v>1.0</v>
      </c>
      <c r="F33" s="538">
        <v>1.0</v>
      </c>
      <c r="G33" s="538">
        <v>1.0</v>
      </c>
      <c r="H33" s="538">
        <v>1.0</v>
      </c>
      <c r="I33" s="538">
        <v>1.0</v>
      </c>
      <c r="J33" s="538">
        <v>1.0</v>
      </c>
      <c r="K33" s="538">
        <v>1.0</v>
      </c>
      <c r="L33" s="538">
        <v>1.0</v>
      </c>
      <c r="M33" s="538">
        <v>1.0</v>
      </c>
      <c r="N33" s="538">
        <f t="shared" ref="N33:N36" si="10">AVERAGE(D33:M33)</f>
        <v>1</v>
      </c>
      <c r="O33" s="539"/>
      <c r="P33" s="540"/>
      <c r="T33" s="260"/>
      <c r="U33" s="260"/>
      <c r="V33" s="260"/>
      <c r="W33" s="260"/>
      <c r="X33" s="260"/>
      <c r="Y33" s="260"/>
      <c r="Z33" s="260"/>
    </row>
    <row r="34" ht="13.5" customHeight="1">
      <c r="A34" s="260"/>
      <c r="B34" s="260"/>
      <c r="C34" s="537" t="s">
        <v>193</v>
      </c>
      <c r="D34" s="541">
        <f t="shared" ref="D34:H34" si="8">D10/D16</f>
        <v>27.52923077</v>
      </c>
      <c r="E34" s="541">
        <f t="shared" si="8"/>
        <v>35.6105</v>
      </c>
      <c r="F34" s="541">
        <f t="shared" si="8"/>
        <v>16.26931818</v>
      </c>
      <c r="G34" s="541">
        <f t="shared" si="8"/>
        <v>10.15382353</v>
      </c>
      <c r="H34" s="541">
        <f t="shared" si="8"/>
        <v>115.1966667</v>
      </c>
      <c r="I34" s="500">
        <f t="shared" ref="I34:M34" si="9">I19/I23</f>
        <v>0</v>
      </c>
      <c r="J34" s="500">
        <f t="shared" si="9"/>
        <v>0</v>
      </c>
      <c r="K34" s="500">
        <f t="shared" si="9"/>
        <v>0</v>
      </c>
      <c r="L34" s="500">
        <f t="shared" si="9"/>
        <v>0</v>
      </c>
      <c r="M34" s="500">
        <f t="shared" si="9"/>
        <v>0</v>
      </c>
      <c r="N34" s="500">
        <f t="shared" si="10"/>
        <v>20.47595391</v>
      </c>
      <c r="O34" s="539"/>
      <c r="P34" s="542"/>
      <c r="Q34" s="540"/>
      <c r="R34" s="540"/>
      <c r="S34" s="540"/>
      <c r="T34" s="260"/>
      <c r="U34" s="260"/>
      <c r="V34" s="260"/>
      <c r="W34" s="260"/>
      <c r="X34" s="260"/>
      <c r="Y34" s="260"/>
      <c r="Z34" s="260"/>
    </row>
    <row r="35" ht="13.5" customHeight="1">
      <c r="A35" s="260"/>
      <c r="B35" s="260"/>
      <c r="C35" s="537" t="s">
        <v>194</v>
      </c>
      <c r="D35" s="500">
        <f t="shared" ref="D35:M35" si="11">D34*D33</f>
        <v>27.52923077</v>
      </c>
      <c r="E35" s="500">
        <f t="shared" si="11"/>
        <v>35.6105</v>
      </c>
      <c r="F35" s="500">
        <f t="shared" si="11"/>
        <v>16.26931818</v>
      </c>
      <c r="G35" s="500">
        <f t="shared" si="11"/>
        <v>10.15382353</v>
      </c>
      <c r="H35" s="500">
        <f t="shared" si="11"/>
        <v>115.1966667</v>
      </c>
      <c r="I35" s="500">
        <f t="shared" si="11"/>
        <v>0</v>
      </c>
      <c r="J35" s="500">
        <f t="shared" si="11"/>
        <v>0</v>
      </c>
      <c r="K35" s="500">
        <f t="shared" si="11"/>
        <v>0</v>
      </c>
      <c r="L35" s="500">
        <f t="shared" si="11"/>
        <v>0</v>
      </c>
      <c r="M35" s="500">
        <f t="shared" si="11"/>
        <v>0</v>
      </c>
      <c r="N35" s="500">
        <f t="shared" si="10"/>
        <v>20.47595391</v>
      </c>
      <c r="O35" s="539"/>
      <c r="P35" s="542"/>
      <c r="Q35" s="540"/>
      <c r="R35" s="540"/>
      <c r="S35" s="540"/>
      <c r="T35" s="260"/>
      <c r="U35" s="260"/>
      <c r="V35" s="260"/>
      <c r="W35" s="260"/>
      <c r="X35" s="260"/>
      <c r="Y35" s="260"/>
      <c r="Z35" s="260"/>
    </row>
    <row r="36" ht="13.5" customHeight="1">
      <c r="A36" s="260"/>
      <c r="B36" s="260"/>
      <c r="C36" s="537" t="s">
        <v>195</v>
      </c>
      <c r="D36" s="500">
        <f t="shared" ref="D36:M36" si="12">D35*(1+0.05)</f>
        <v>28.90569231</v>
      </c>
      <c r="E36" s="500">
        <f t="shared" si="12"/>
        <v>37.391025</v>
      </c>
      <c r="F36" s="500">
        <f t="shared" si="12"/>
        <v>17.08278409</v>
      </c>
      <c r="G36" s="500">
        <f t="shared" si="12"/>
        <v>10.66151471</v>
      </c>
      <c r="H36" s="500">
        <f t="shared" si="12"/>
        <v>120.9565</v>
      </c>
      <c r="I36" s="500">
        <f t="shared" si="12"/>
        <v>0</v>
      </c>
      <c r="J36" s="500">
        <f t="shared" si="12"/>
        <v>0</v>
      </c>
      <c r="K36" s="500">
        <f t="shared" si="12"/>
        <v>0</v>
      </c>
      <c r="L36" s="500">
        <f t="shared" si="12"/>
        <v>0</v>
      </c>
      <c r="M36" s="500">
        <f t="shared" si="12"/>
        <v>0</v>
      </c>
      <c r="N36" s="500">
        <f t="shared" si="10"/>
        <v>21.49975161</v>
      </c>
      <c r="O36" s="543"/>
      <c r="P36" s="543"/>
      <c r="Q36" s="543"/>
      <c r="R36" s="543"/>
      <c r="S36" s="539"/>
      <c r="T36" s="260"/>
      <c r="U36" s="260"/>
      <c r="V36" s="260"/>
      <c r="W36" s="260"/>
      <c r="X36" s="260"/>
      <c r="Y36" s="260"/>
      <c r="Z36" s="260"/>
    </row>
    <row r="37" ht="13.5" customHeight="1">
      <c r="A37" s="260"/>
      <c r="B37" s="260"/>
      <c r="C37" s="544" t="s">
        <v>196</v>
      </c>
      <c r="D37" s="500"/>
      <c r="E37" s="500"/>
      <c r="F37" s="500"/>
      <c r="G37" s="500"/>
      <c r="H37" s="500"/>
      <c r="I37" s="500"/>
      <c r="J37" s="500"/>
      <c r="K37" s="500"/>
      <c r="L37" s="500"/>
      <c r="M37" s="500"/>
      <c r="N37" s="545">
        <f>3600/N36</f>
        <v>167.4437949</v>
      </c>
      <c r="O37" s="547"/>
      <c r="Q37" s="547"/>
      <c r="R37" s="547"/>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532"/>
      <c r="B40" s="532"/>
      <c r="C40" s="548" t="s">
        <v>265</v>
      </c>
      <c r="D40" s="532"/>
      <c r="E40" s="532"/>
      <c r="F40" s="532"/>
      <c r="G40" s="532"/>
      <c r="H40" s="532"/>
      <c r="I40" s="532"/>
      <c r="J40" s="532"/>
      <c r="K40" s="532"/>
      <c r="L40" s="532"/>
      <c r="M40" s="532"/>
      <c r="N40" s="534" t="s">
        <v>163</v>
      </c>
      <c r="O40" s="535"/>
      <c r="P40" s="535"/>
      <c r="Q40" s="535"/>
      <c r="R40" s="536"/>
      <c r="S40" s="536"/>
      <c r="T40" s="532"/>
      <c r="U40" s="532"/>
      <c r="V40" s="532"/>
      <c r="W40" s="532"/>
      <c r="X40" s="532"/>
      <c r="Y40" s="532"/>
      <c r="Z40" s="532"/>
    </row>
    <row r="41" ht="13.5" customHeight="1">
      <c r="A41" s="260"/>
      <c r="B41" s="260"/>
      <c r="C41" s="537" t="s">
        <v>192</v>
      </c>
      <c r="D41" s="538">
        <v>1.0</v>
      </c>
      <c r="E41" s="538">
        <v>1.0</v>
      </c>
      <c r="F41" s="538">
        <v>1.0</v>
      </c>
      <c r="G41" s="538">
        <v>1.0</v>
      </c>
      <c r="H41" s="538">
        <v>1.0</v>
      </c>
      <c r="I41" s="538">
        <v>1.0</v>
      </c>
      <c r="J41" s="538">
        <v>1.0</v>
      </c>
      <c r="K41" s="538">
        <v>1.0</v>
      </c>
      <c r="L41" s="538">
        <v>1.0</v>
      </c>
      <c r="M41" s="538">
        <v>1.0</v>
      </c>
      <c r="N41" s="538">
        <f t="shared" ref="N41:N44" si="14">AVERAGE(D41:M41)</f>
        <v>1</v>
      </c>
      <c r="O41" s="539"/>
      <c r="P41" s="540"/>
      <c r="T41" s="260"/>
      <c r="U41" s="260"/>
      <c r="V41" s="260"/>
      <c r="W41" s="260"/>
      <c r="X41" s="260"/>
      <c r="Y41" s="260"/>
      <c r="Z41" s="260"/>
    </row>
    <row r="42" ht="13.5" customHeight="1">
      <c r="A42" s="260"/>
      <c r="B42" s="260"/>
      <c r="C42" s="537" t="s">
        <v>193</v>
      </c>
      <c r="D42" s="500" t="str">
        <f t="shared" ref="D42:M42" si="13">D27/D31</f>
        <v>#DIV/0!</v>
      </c>
      <c r="E42" s="500" t="str">
        <f t="shared" si="13"/>
        <v>#DIV/0!</v>
      </c>
      <c r="F42" s="500" t="str">
        <f t="shared" si="13"/>
        <v>#DIV/0!</v>
      </c>
      <c r="G42" s="500" t="str">
        <f t="shared" si="13"/>
        <v>#DIV/0!</v>
      </c>
      <c r="H42" s="500" t="str">
        <f t="shared" si="13"/>
        <v>#DIV/0!</v>
      </c>
      <c r="I42" s="500" t="str">
        <f t="shared" si="13"/>
        <v>#DIV/0!</v>
      </c>
      <c r="J42" s="500" t="str">
        <f t="shared" si="13"/>
        <v>#DIV/0!</v>
      </c>
      <c r="K42" s="500" t="str">
        <f t="shared" si="13"/>
        <v>#DIV/0!</v>
      </c>
      <c r="L42" s="500" t="str">
        <f t="shared" si="13"/>
        <v>#DIV/0!</v>
      </c>
      <c r="M42" s="500" t="str">
        <f t="shared" si="13"/>
        <v>#DIV/0!</v>
      </c>
      <c r="N42" s="500" t="str">
        <f t="shared" si="14"/>
        <v>#DIV/0!</v>
      </c>
      <c r="O42" s="539"/>
      <c r="P42" s="542"/>
      <c r="Q42" s="540"/>
      <c r="R42" s="540"/>
      <c r="S42" s="540"/>
      <c r="T42" s="260"/>
      <c r="U42" s="260"/>
      <c r="V42" s="260"/>
      <c r="W42" s="260"/>
      <c r="X42" s="260"/>
      <c r="Y42" s="260"/>
      <c r="Z42" s="260"/>
    </row>
    <row r="43" ht="13.5" customHeight="1">
      <c r="A43" s="260"/>
      <c r="B43" s="260"/>
      <c r="C43" s="537" t="s">
        <v>194</v>
      </c>
      <c r="D43" s="500" t="str">
        <f t="shared" ref="D43:M43" si="15">D42*D41</f>
        <v>#DIV/0!</v>
      </c>
      <c r="E43" s="500" t="str">
        <f t="shared" si="15"/>
        <v>#DIV/0!</v>
      </c>
      <c r="F43" s="500" t="str">
        <f t="shared" si="15"/>
        <v>#DIV/0!</v>
      </c>
      <c r="G43" s="500" t="str">
        <f t="shared" si="15"/>
        <v>#DIV/0!</v>
      </c>
      <c r="H43" s="500" t="str">
        <f t="shared" si="15"/>
        <v>#DIV/0!</v>
      </c>
      <c r="I43" s="500" t="str">
        <f t="shared" si="15"/>
        <v>#DIV/0!</v>
      </c>
      <c r="J43" s="500" t="str">
        <f t="shared" si="15"/>
        <v>#DIV/0!</v>
      </c>
      <c r="K43" s="500" t="str">
        <f t="shared" si="15"/>
        <v>#DIV/0!</v>
      </c>
      <c r="L43" s="500" t="str">
        <f t="shared" si="15"/>
        <v>#DIV/0!</v>
      </c>
      <c r="M43" s="500" t="str">
        <f t="shared" si="15"/>
        <v>#DIV/0!</v>
      </c>
      <c r="N43" s="500" t="str">
        <f t="shared" si="14"/>
        <v>#DIV/0!</v>
      </c>
      <c r="O43" s="539"/>
      <c r="P43" s="542"/>
      <c r="Q43" s="540"/>
      <c r="R43" s="540"/>
      <c r="S43" s="540"/>
      <c r="T43" s="260"/>
      <c r="U43" s="260"/>
      <c r="V43" s="260"/>
      <c r="W43" s="260"/>
      <c r="X43" s="260"/>
      <c r="Y43" s="260"/>
      <c r="Z43" s="260"/>
    </row>
    <row r="44" ht="13.5" customHeight="1">
      <c r="A44" s="260"/>
      <c r="B44" s="260"/>
      <c r="C44" s="537" t="s">
        <v>195</v>
      </c>
      <c r="D44" s="500" t="str">
        <f t="shared" ref="D44:M44" si="16">D43*(1+0.05)</f>
        <v>#DIV/0!</v>
      </c>
      <c r="E44" s="500" t="str">
        <f t="shared" si="16"/>
        <v>#DIV/0!</v>
      </c>
      <c r="F44" s="500" t="str">
        <f t="shared" si="16"/>
        <v>#DIV/0!</v>
      </c>
      <c r="G44" s="500" t="str">
        <f t="shared" si="16"/>
        <v>#DIV/0!</v>
      </c>
      <c r="H44" s="500" t="str">
        <f t="shared" si="16"/>
        <v>#DIV/0!</v>
      </c>
      <c r="I44" s="500" t="str">
        <f t="shared" si="16"/>
        <v>#DIV/0!</v>
      </c>
      <c r="J44" s="500" t="str">
        <f t="shared" si="16"/>
        <v>#DIV/0!</v>
      </c>
      <c r="K44" s="500" t="str">
        <f t="shared" si="16"/>
        <v>#DIV/0!</v>
      </c>
      <c r="L44" s="500" t="str">
        <f t="shared" si="16"/>
        <v>#DIV/0!</v>
      </c>
      <c r="M44" s="500" t="str">
        <f t="shared" si="16"/>
        <v>#DIV/0!</v>
      </c>
      <c r="N44" s="500" t="str">
        <f t="shared" si="14"/>
        <v>#DIV/0!</v>
      </c>
      <c r="O44" s="543"/>
      <c r="P44" s="543"/>
      <c r="Q44" s="543"/>
      <c r="R44" s="543"/>
      <c r="S44" s="539"/>
      <c r="T44" s="260"/>
      <c r="U44" s="260"/>
      <c r="V44" s="260"/>
      <c r="W44" s="260"/>
      <c r="X44" s="260"/>
      <c r="Y44" s="260"/>
      <c r="Z44" s="260"/>
    </row>
    <row r="45" ht="13.5" customHeight="1">
      <c r="A45" s="260"/>
      <c r="B45" s="260"/>
      <c r="C45" s="544" t="s">
        <v>196</v>
      </c>
      <c r="D45" s="500"/>
      <c r="E45" s="500"/>
      <c r="F45" s="500"/>
      <c r="G45" s="500"/>
      <c r="H45" s="500"/>
      <c r="I45" s="500"/>
      <c r="J45" s="500"/>
      <c r="K45" s="500"/>
      <c r="L45" s="500"/>
      <c r="M45" s="500"/>
      <c r="N45" s="545" t="str">
        <f>3600/N44</f>
        <v>#DIV/0!</v>
      </c>
      <c r="O45" s="547"/>
      <c r="Q45" s="547"/>
      <c r="R45" s="547"/>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3.5" customHeight="1">
      <c r="A233" s="260"/>
      <c r="B233" s="260"/>
      <c r="C233" s="260"/>
      <c r="D233" s="260"/>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row>
    <row r="234" ht="13.5" customHeight="1">
      <c r="A234" s="260"/>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row>
    <row r="235" ht="13.5" customHeight="1">
      <c r="A235" s="260"/>
      <c r="B235" s="260"/>
      <c r="C235" s="260"/>
      <c r="D235" s="260"/>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row>
    <row r="236" ht="13.5" customHeight="1">
      <c r="A236" s="260"/>
      <c r="B236" s="260"/>
      <c r="C236" s="260"/>
      <c r="D236" s="260"/>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row>
    <row r="237" ht="13.5" customHeight="1">
      <c r="A237" s="260"/>
      <c r="B237" s="260"/>
      <c r="C237" s="260"/>
      <c r="D237" s="260"/>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row>
    <row r="238" ht="13.5" customHeight="1">
      <c r="A238" s="260"/>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row>
    <row r="239" ht="13.5" customHeight="1">
      <c r="A239" s="260"/>
      <c r="B239" s="260"/>
      <c r="C239" s="260"/>
      <c r="D239" s="260"/>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row>
    <row r="240" ht="13.5" customHeight="1">
      <c r="A240" s="260"/>
      <c r="B240" s="260"/>
      <c r="C240" s="260"/>
      <c r="D240" s="260"/>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row>
    <row r="241" ht="13.5" customHeight="1">
      <c r="A241" s="260"/>
      <c r="B241" s="260"/>
      <c r="C241" s="260"/>
      <c r="D241" s="260"/>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row>
    <row r="242" ht="13.5" customHeight="1">
      <c r="A242" s="260"/>
      <c r="B242" s="260"/>
      <c r="C242" s="260"/>
      <c r="D242" s="260"/>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row>
    <row r="243" ht="13.5" customHeight="1">
      <c r="A243" s="260"/>
      <c r="B243" s="260"/>
      <c r="C243" s="260"/>
      <c r="D243" s="260"/>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row>
    <row r="244" ht="13.5" customHeight="1">
      <c r="A244" s="260"/>
      <c r="B244" s="260"/>
      <c r="C244" s="260"/>
      <c r="D244" s="260"/>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row>
    <row r="245" ht="13.5" customHeight="1">
      <c r="A245" s="260"/>
      <c r="B245" s="260"/>
      <c r="C245" s="260"/>
      <c r="D245" s="260"/>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7:B8"/>
    <mergeCell ref="C7:C8"/>
    <mergeCell ref="D7:M7"/>
    <mergeCell ref="P7:P8"/>
    <mergeCell ref="Q7:Q8"/>
    <mergeCell ref="R7:R8"/>
    <mergeCell ref="S7:S8"/>
    <mergeCell ref="T7:T8"/>
    <mergeCell ref="B2:N2"/>
    <mergeCell ref="B3:D3"/>
    <mergeCell ref="E3:G3"/>
    <mergeCell ref="H3:J3"/>
    <mergeCell ref="K3:N3"/>
    <mergeCell ref="B4:D5"/>
    <mergeCell ref="E4:G5"/>
    <mergeCell ref="O37:P37"/>
    <mergeCell ref="O45:P45"/>
    <mergeCell ref="H4:J5"/>
    <mergeCell ref="K4:N5"/>
    <mergeCell ref="P23:S23"/>
    <mergeCell ref="O27:P27"/>
    <mergeCell ref="O28:P28"/>
    <mergeCell ref="P33:S33"/>
    <mergeCell ref="P41:S4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21.71"/>
    <col customWidth="1" min="5" max="5" width="20.0"/>
    <col customWidth="1" min="6" max="6" width="18.71"/>
    <col customWidth="1" min="7" max="7" width="21.29"/>
    <col customWidth="1" min="8" max="8" width="20.57"/>
    <col customWidth="1" min="9" max="9" width="15.43"/>
    <col customWidth="1" min="10" max="10" width="16.86"/>
    <col customWidth="1" min="11" max="11" width="17.71"/>
    <col customWidth="1" min="12" max="12" width="14.29"/>
    <col customWidth="1" min="13" max="13" width="15.29"/>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410</v>
      </c>
      <c r="C4" s="468"/>
      <c r="D4" s="469"/>
      <c r="E4" s="470" t="s">
        <v>158</v>
      </c>
      <c r="F4" s="468"/>
      <c r="G4" s="469"/>
      <c r="H4" s="555" t="s">
        <v>416</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01" t="s">
        <v>163</v>
      </c>
      <c r="Q7" s="602" t="s">
        <v>164</v>
      </c>
      <c r="R7" s="629"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491"/>
      <c r="Q8" s="117"/>
      <c r="R8" s="557"/>
      <c r="S8" s="260"/>
      <c r="T8" s="260"/>
      <c r="U8" s="260"/>
      <c r="V8" s="260"/>
      <c r="W8" s="260"/>
      <c r="X8" s="260"/>
      <c r="Y8" s="260"/>
      <c r="Z8" s="260"/>
    </row>
    <row r="9" ht="13.5" customHeight="1">
      <c r="A9" s="497"/>
      <c r="B9" s="498">
        <v>1.0</v>
      </c>
      <c r="C9" s="499" t="s">
        <v>466</v>
      </c>
      <c r="D9" s="500"/>
      <c r="E9" s="500"/>
      <c r="F9" s="500"/>
      <c r="G9" s="500"/>
      <c r="H9" s="500"/>
      <c r="I9" s="500"/>
      <c r="J9" s="500"/>
      <c r="K9" s="500"/>
      <c r="L9" s="500"/>
      <c r="M9" s="500"/>
      <c r="N9" s="501">
        <f t="shared" ref="N9:N10" si="1">SUM(D9:M9)</f>
        <v>0</v>
      </c>
      <c r="O9" s="485"/>
      <c r="P9" s="607" t="str">
        <f t="shared" ref="P9:P10" si="2">AVERAGE(D9:M9)</f>
        <v>#DIV/0!</v>
      </c>
      <c r="Q9" s="630">
        <f t="shared" ref="Q9:Q10" si="3">MAX(D9:M9)</f>
        <v>0</v>
      </c>
      <c r="R9" s="631" t="str">
        <f t="shared" ref="R9:R10" si="4">P9/$P$12</f>
        <v>#DIV/0!</v>
      </c>
      <c r="S9" s="497"/>
      <c r="T9" s="497"/>
      <c r="U9" s="497"/>
      <c r="V9" s="497"/>
      <c r="W9" s="497"/>
      <c r="X9" s="497"/>
      <c r="Y9" s="497"/>
      <c r="Z9" s="497"/>
    </row>
    <row r="10" ht="13.5" customHeight="1">
      <c r="A10" s="485"/>
      <c r="B10" s="498">
        <v>2.0</v>
      </c>
      <c r="C10" s="563" t="s">
        <v>467</v>
      </c>
      <c r="D10" s="500"/>
      <c r="E10" s="500"/>
      <c r="F10" s="500"/>
      <c r="G10" s="500"/>
      <c r="H10" s="500"/>
      <c r="I10" s="500"/>
      <c r="J10" s="500"/>
      <c r="K10" s="500"/>
      <c r="L10" s="500"/>
      <c r="M10" s="500"/>
      <c r="N10" s="501">
        <f t="shared" si="1"/>
        <v>0</v>
      </c>
      <c r="O10" s="485"/>
      <c r="P10" s="607" t="str">
        <f t="shared" si="2"/>
        <v>#DIV/0!</v>
      </c>
      <c r="Q10" s="630">
        <f t="shared" si="3"/>
        <v>0</v>
      </c>
      <c r="R10" s="632" t="str">
        <f t="shared" si="4"/>
        <v>#DIV/0!</v>
      </c>
      <c r="S10" s="485"/>
      <c r="T10" s="485"/>
      <c r="U10" s="485"/>
      <c r="V10" s="485"/>
      <c r="W10" s="485"/>
      <c r="X10" s="485"/>
      <c r="Y10" s="485"/>
      <c r="Z10" s="485"/>
    </row>
    <row r="11" ht="13.5" customHeight="1">
      <c r="A11" s="485"/>
      <c r="B11" s="642">
        <v>3.0</v>
      </c>
      <c r="C11" s="643" t="s">
        <v>468</v>
      </c>
      <c r="D11" s="644"/>
      <c r="E11" s="644"/>
      <c r="F11" s="644"/>
      <c r="G11" s="644"/>
      <c r="H11" s="644"/>
      <c r="I11" s="644"/>
      <c r="J11" s="644"/>
      <c r="K11" s="644"/>
      <c r="L11" s="644"/>
      <c r="M11" s="644"/>
      <c r="N11" s="645"/>
      <c r="O11" s="485"/>
      <c r="P11" s="646"/>
      <c r="Q11" s="647"/>
      <c r="R11" s="648"/>
      <c r="S11" s="485"/>
      <c r="T11" s="485"/>
      <c r="U11" s="485"/>
      <c r="V11" s="485"/>
      <c r="W11" s="485"/>
      <c r="X11" s="485"/>
      <c r="Y11" s="485"/>
      <c r="Z11" s="485"/>
    </row>
    <row r="12" ht="13.5" customHeight="1">
      <c r="A12" s="485"/>
      <c r="B12" s="507"/>
      <c r="C12" s="508" t="s">
        <v>180</v>
      </c>
      <c r="D12" s="613">
        <f t="shared" ref="D12:M12" si="5">SUM(D9:D11)</f>
        <v>0</v>
      </c>
      <c r="E12" s="613">
        <f t="shared" si="5"/>
        <v>0</v>
      </c>
      <c r="F12" s="613">
        <f t="shared" si="5"/>
        <v>0</v>
      </c>
      <c r="G12" s="613">
        <f t="shared" si="5"/>
        <v>0</v>
      </c>
      <c r="H12" s="613">
        <f t="shared" si="5"/>
        <v>0</v>
      </c>
      <c r="I12" s="613">
        <f t="shared" si="5"/>
        <v>0</v>
      </c>
      <c r="J12" s="613">
        <f t="shared" si="5"/>
        <v>0</v>
      </c>
      <c r="K12" s="613">
        <f t="shared" si="5"/>
        <v>0</v>
      </c>
      <c r="L12" s="613">
        <f t="shared" si="5"/>
        <v>0</v>
      </c>
      <c r="M12" s="613">
        <f t="shared" si="5"/>
        <v>0</v>
      </c>
      <c r="N12" s="510">
        <f>SUM(D12:M12)</f>
        <v>0</v>
      </c>
      <c r="O12" s="479" t="s">
        <v>10</v>
      </c>
      <c r="P12" s="614" t="str">
        <f t="shared" ref="P12:R12" si="6">SUM(P9:P10)</f>
        <v>#DIV/0!</v>
      </c>
      <c r="Q12" s="615">
        <f t="shared" si="6"/>
        <v>0</v>
      </c>
      <c r="R12" s="615" t="str">
        <f t="shared" si="6"/>
        <v>#DIV/0!</v>
      </c>
      <c r="S12" s="485"/>
      <c r="T12" s="485"/>
      <c r="U12" s="485"/>
      <c r="V12" s="485"/>
      <c r="W12" s="485"/>
      <c r="X12" s="485"/>
      <c r="Y12" s="485"/>
      <c r="Z12" s="485"/>
    </row>
    <row r="13" ht="13.5" customHeight="1">
      <c r="A13" s="260"/>
      <c r="B13" s="260"/>
      <c r="C13" s="514"/>
      <c r="D13" s="515"/>
      <c r="E13" s="515"/>
      <c r="F13" s="515"/>
      <c r="G13" s="515"/>
      <c r="H13" s="515"/>
      <c r="I13" s="515"/>
      <c r="J13" s="515"/>
      <c r="K13" s="515"/>
      <c r="L13" s="515"/>
      <c r="M13" s="515"/>
      <c r="N13" s="516">
        <f>N12/60</f>
        <v>0</v>
      </c>
      <c r="O13" s="260"/>
      <c r="P13" s="260"/>
      <c r="Q13" s="260"/>
      <c r="R13" s="260"/>
      <c r="S13" s="260"/>
      <c r="T13" s="260"/>
      <c r="U13" s="260"/>
      <c r="V13" s="260"/>
      <c r="W13" s="260"/>
      <c r="X13" s="260"/>
      <c r="Y13" s="260"/>
      <c r="Z13" s="260"/>
    </row>
    <row r="14" ht="13.5" customHeight="1">
      <c r="A14" s="260"/>
      <c r="B14" s="260"/>
      <c r="C14" s="514"/>
      <c r="D14" s="515"/>
      <c r="E14" s="515"/>
      <c r="F14" s="515"/>
      <c r="G14" s="515"/>
      <c r="H14" s="515"/>
      <c r="I14" s="515"/>
      <c r="J14" s="515"/>
      <c r="K14" s="515"/>
      <c r="L14" s="515"/>
      <c r="M14" s="515"/>
      <c r="N14" s="517" t="s">
        <v>182</v>
      </c>
      <c r="O14" s="479"/>
      <c r="P14" s="515"/>
      <c r="Q14" s="515"/>
      <c r="R14" s="479"/>
      <c r="S14" s="260"/>
      <c r="T14" s="260"/>
      <c r="U14" s="260"/>
      <c r="V14" s="260"/>
      <c r="W14" s="260"/>
      <c r="X14" s="260"/>
      <c r="Y14" s="260"/>
      <c r="Z14" s="260"/>
    </row>
    <row r="15" ht="13.5" customHeight="1">
      <c r="A15" s="260"/>
      <c r="B15" s="260"/>
      <c r="C15" s="260"/>
      <c r="D15" s="260"/>
      <c r="E15" s="260"/>
      <c r="F15" s="260"/>
      <c r="G15" s="260"/>
      <c r="H15" s="260"/>
      <c r="I15" s="260"/>
      <c r="J15" s="260"/>
      <c r="K15" s="260"/>
      <c r="L15" s="260"/>
      <c r="M15" s="260"/>
      <c r="N15" s="260"/>
      <c r="O15" s="479"/>
      <c r="P15" s="515"/>
      <c r="Q15" s="515"/>
      <c r="R15" s="479"/>
      <c r="S15" s="260"/>
      <c r="T15" s="260"/>
      <c r="U15" s="260"/>
      <c r="V15" s="260"/>
      <c r="W15" s="260"/>
      <c r="X15" s="260"/>
      <c r="Y15" s="260"/>
      <c r="Z15" s="260"/>
    </row>
    <row r="16" ht="7.5" customHeight="1">
      <c r="A16" s="260"/>
      <c r="B16" s="260"/>
      <c r="C16" s="514"/>
      <c r="D16" s="515"/>
      <c r="E16" s="515"/>
      <c r="F16" s="515"/>
      <c r="G16" s="515"/>
      <c r="H16" s="515"/>
      <c r="I16" s="515"/>
      <c r="J16" s="515"/>
      <c r="K16" s="515"/>
      <c r="L16" s="515"/>
      <c r="M16" s="515"/>
      <c r="N16" s="516"/>
      <c r="O16" s="479"/>
      <c r="P16" s="515"/>
      <c r="Q16" s="515"/>
      <c r="R16" s="479"/>
      <c r="S16" s="260"/>
      <c r="T16" s="260"/>
      <c r="U16" s="260"/>
      <c r="V16" s="260"/>
      <c r="W16" s="260"/>
      <c r="X16" s="260"/>
      <c r="Y16" s="260"/>
      <c r="Z16" s="260"/>
    </row>
    <row r="17" ht="13.5" customHeight="1">
      <c r="A17" s="260"/>
      <c r="B17" s="260"/>
      <c r="C17" s="518" t="s">
        <v>417</v>
      </c>
      <c r="D17" s="522">
        <v>45.0</v>
      </c>
      <c r="E17" s="522">
        <v>7.0</v>
      </c>
      <c r="F17" s="522">
        <v>1.0</v>
      </c>
      <c r="G17" s="522">
        <v>3.0</v>
      </c>
      <c r="H17" s="522">
        <v>14.0</v>
      </c>
      <c r="I17" s="522">
        <v>1.0</v>
      </c>
      <c r="J17" s="522">
        <v>2.0</v>
      </c>
      <c r="K17" s="522">
        <v>2.0</v>
      </c>
      <c r="L17" s="522">
        <v>3.0</v>
      </c>
      <c r="M17" s="522">
        <v>1.0</v>
      </c>
      <c r="N17" s="520"/>
      <c r="O17" s="479"/>
      <c r="P17" s="479"/>
      <c r="Q17" s="521"/>
      <c r="R17" s="260"/>
      <c r="S17" s="260"/>
      <c r="T17" s="260"/>
      <c r="U17" s="260"/>
      <c r="V17" s="260"/>
      <c r="W17" s="260"/>
      <c r="X17" s="260"/>
      <c r="Y17" s="260"/>
      <c r="Z17" s="260"/>
    </row>
    <row r="18" ht="13.5" customHeight="1">
      <c r="A18" s="260"/>
      <c r="B18" s="260"/>
      <c r="C18" s="518" t="s">
        <v>294</v>
      </c>
      <c r="D18" s="522" t="s">
        <v>295</v>
      </c>
      <c r="E18" s="522" t="s">
        <v>296</v>
      </c>
      <c r="F18" s="569">
        <v>6.4793681373186E14</v>
      </c>
      <c r="G18" s="569">
        <v>6.48273243175364E14</v>
      </c>
      <c r="H18" s="569">
        <v>6.52071150791481E14</v>
      </c>
      <c r="I18" s="569">
        <v>6.48691674809415E14</v>
      </c>
      <c r="J18" s="569">
        <v>6.48645294554667E14</v>
      </c>
      <c r="K18" s="569" t="s">
        <v>297</v>
      </c>
      <c r="L18" s="569">
        <v>6.51515228002361E14</v>
      </c>
      <c r="M18" s="569">
        <v>6.55547797928654E14</v>
      </c>
      <c r="N18" s="520"/>
      <c r="O18" s="479"/>
      <c r="P18" s="479"/>
      <c r="Q18" s="521"/>
      <c r="R18" s="260"/>
      <c r="S18" s="260"/>
      <c r="T18" s="260"/>
      <c r="U18" s="260"/>
      <c r="V18" s="260"/>
      <c r="W18" s="260"/>
      <c r="X18" s="260"/>
      <c r="Y18" s="260"/>
      <c r="Z18" s="260"/>
    </row>
    <row r="19" ht="13.5" customHeight="1">
      <c r="A19" s="260"/>
      <c r="B19" s="260"/>
      <c r="C19" s="518" t="s">
        <v>187</v>
      </c>
      <c r="D19" s="522" t="s">
        <v>298</v>
      </c>
      <c r="E19" s="522" t="s">
        <v>298</v>
      </c>
      <c r="F19" s="522" t="s">
        <v>298</v>
      </c>
      <c r="G19" s="522" t="s">
        <v>298</v>
      </c>
      <c r="H19" s="522" t="s">
        <v>298</v>
      </c>
      <c r="I19" s="522" t="s">
        <v>299</v>
      </c>
      <c r="J19" s="522" t="s">
        <v>299</v>
      </c>
      <c r="K19" s="522" t="s">
        <v>299</v>
      </c>
      <c r="L19" s="522" t="s">
        <v>299</v>
      </c>
      <c r="M19" s="522" t="s">
        <v>299</v>
      </c>
      <c r="N19" s="520"/>
      <c r="O19" s="479"/>
      <c r="P19" s="479"/>
      <c r="Q19" s="521"/>
      <c r="R19" s="260"/>
      <c r="S19" s="260"/>
      <c r="T19" s="260"/>
      <c r="U19" s="260"/>
      <c r="V19" s="260"/>
      <c r="W19" s="260"/>
      <c r="X19" s="260"/>
      <c r="Y19" s="260"/>
      <c r="Z19" s="260"/>
    </row>
    <row r="20" ht="13.5" customHeight="1">
      <c r="A20" s="260"/>
      <c r="B20" s="260"/>
      <c r="C20" s="570" t="s">
        <v>243</v>
      </c>
      <c r="D20" s="571" t="s">
        <v>300</v>
      </c>
      <c r="E20" s="571" t="s">
        <v>301</v>
      </c>
      <c r="F20" s="522" t="s">
        <v>245</v>
      </c>
      <c r="G20" s="522" t="s">
        <v>302</v>
      </c>
      <c r="H20" s="522" t="s">
        <v>302</v>
      </c>
      <c r="I20" s="522" t="s">
        <v>303</v>
      </c>
      <c r="J20" s="522" t="s">
        <v>303</v>
      </c>
      <c r="K20" s="522" t="s">
        <v>303</v>
      </c>
      <c r="L20" s="571" t="s">
        <v>301</v>
      </c>
      <c r="M20" s="571" t="s">
        <v>301</v>
      </c>
      <c r="N20" s="520"/>
      <c r="O20" s="479"/>
      <c r="P20" s="479"/>
      <c r="Q20" s="521"/>
      <c r="R20" s="260"/>
      <c r="S20" s="260"/>
      <c r="T20" s="260"/>
      <c r="U20" s="260"/>
      <c r="V20" s="260"/>
      <c r="W20" s="260"/>
      <c r="X20" s="260"/>
      <c r="Y20" s="260"/>
      <c r="Z20" s="260"/>
    </row>
    <row r="21" ht="13.5" customHeight="1">
      <c r="A21" s="260"/>
      <c r="B21" s="260"/>
      <c r="C21" s="572" t="s">
        <v>304</v>
      </c>
      <c r="D21" s="522" t="s">
        <v>418</v>
      </c>
      <c r="E21" s="522" t="s">
        <v>418</v>
      </c>
      <c r="F21" s="522" t="s">
        <v>419</v>
      </c>
      <c r="G21" s="633" t="s">
        <v>418</v>
      </c>
      <c r="H21" s="522" t="s">
        <v>418</v>
      </c>
      <c r="I21" s="526" t="s">
        <v>308</v>
      </c>
      <c r="J21" s="526" t="s">
        <v>308</v>
      </c>
      <c r="K21" s="526" t="s">
        <v>309</v>
      </c>
      <c r="L21" s="634" t="s">
        <v>420</v>
      </c>
      <c r="M21" s="634" t="s">
        <v>421</v>
      </c>
      <c r="N21" s="520"/>
      <c r="O21" s="479"/>
      <c r="P21" s="479"/>
      <c r="Q21" s="521"/>
      <c r="R21" s="260"/>
      <c r="S21" s="260"/>
      <c r="T21" s="260"/>
      <c r="U21" s="260"/>
      <c r="V21" s="260"/>
      <c r="W21" s="260"/>
      <c r="X21" s="260"/>
      <c r="Y21" s="260"/>
      <c r="Z21" s="260"/>
    </row>
    <row r="22" ht="13.5" customHeight="1">
      <c r="A22" s="260"/>
      <c r="B22" s="260"/>
      <c r="C22" s="514"/>
      <c r="D22" s="479"/>
      <c r="E22" s="479"/>
      <c r="F22" s="479"/>
      <c r="G22" s="479"/>
      <c r="H22" s="479"/>
      <c r="I22" s="479"/>
      <c r="J22" s="479"/>
      <c r="K22" s="479"/>
      <c r="L22" s="479"/>
      <c r="M22" s="577"/>
      <c r="N22" s="520"/>
      <c r="O22" s="479"/>
      <c r="P22" s="479"/>
      <c r="Q22" s="521"/>
      <c r="R22" s="260"/>
      <c r="S22" s="260"/>
      <c r="T22" s="260"/>
      <c r="U22" s="260"/>
      <c r="V22" s="260"/>
      <c r="W22" s="260"/>
      <c r="X22" s="260"/>
      <c r="Y22" s="260"/>
      <c r="Z22" s="260"/>
    </row>
    <row r="23" ht="13.5" customHeight="1">
      <c r="A23" s="532"/>
      <c r="B23" s="532"/>
      <c r="C23" s="548" t="s">
        <v>422</v>
      </c>
      <c r="D23" s="532"/>
      <c r="E23" s="532"/>
      <c r="F23" s="532"/>
      <c r="G23" s="532"/>
      <c r="H23" s="532"/>
      <c r="I23" s="532"/>
      <c r="J23" s="532"/>
      <c r="K23" s="532"/>
      <c r="L23" s="532"/>
      <c r="M23" s="532"/>
      <c r="N23" s="534" t="s">
        <v>163</v>
      </c>
      <c r="O23" s="535"/>
      <c r="P23" s="535"/>
      <c r="Q23" s="535"/>
      <c r="R23" s="536"/>
      <c r="S23" s="536"/>
      <c r="T23" s="532"/>
      <c r="U23" s="532"/>
      <c r="V23" s="532"/>
      <c r="W23" s="532"/>
      <c r="X23" s="532"/>
      <c r="Y23" s="532"/>
      <c r="Z23" s="532"/>
    </row>
    <row r="24" ht="13.5" customHeight="1">
      <c r="A24" s="260"/>
      <c r="B24" s="260"/>
      <c r="C24" s="537" t="s">
        <v>192</v>
      </c>
      <c r="D24" s="538">
        <v>1.0</v>
      </c>
      <c r="E24" s="538">
        <v>1.0</v>
      </c>
      <c r="F24" s="538">
        <v>1.0</v>
      </c>
      <c r="G24" s="538">
        <v>1.0</v>
      </c>
      <c r="H24" s="538">
        <v>1.0</v>
      </c>
      <c r="I24" s="538">
        <v>1.0</v>
      </c>
      <c r="J24" s="538">
        <v>1.0</v>
      </c>
      <c r="K24" s="538">
        <v>1.0</v>
      </c>
      <c r="L24" s="538">
        <v>1.0</v>
      </c>
      <c r="M24" s="538">
        <v>1.0</v>
      </c>
      <c r="N24" s="538">
        <f t="shared" ref="N24:N27" si="8">AVERAGE(D24:M24)</f>
        <v>1</v>
      </c>
      <c r="O24" s="539"/>
      <c r="P24" s="540"/>
      <c r="T24" s="260"/>
      <c r="U24" s="260"/>
      <c r="V24" s="260"/>
      <c r="W24" s="260"/>
      <c r="X24" s="260"/>
      <c r="Y24" s="260"/>
      <c r="Z24" s="260"/>
    </row>
    <row r="25" ht="13.5" customHeight="1">
      <c r="A25" s="260"/>
      <c r="B25" s="260"/>
      <c r="C25" s="537" t="s">
        <v>193</v>
      </c>
      <c r="D25" s="541">
        <f t="shared" ref="D25:M25" si="7">D12/D17</f>
        <v>0</v>
      </c>
      <c r="E25" s="541">
        <f t="shared" si="7"/>
        <v>0</v>
      </c>
      <c r="F25" s="541">
        <f t="shared" si="7"/>
        <v>0</v>
      </c>
      <c r="G25" s="541">
        <f t="shared" si="7"/>
        <v>0</v>
      </c>
      <c r="H25" s="541">
        <f t="shared" si="7"/>
        <v>0</v>
      </c>
      <c r="I25" s="541">
        <f t="shared" si="7"/>
        <v>0</v>
      </c>
      <c r="J25" s="541">
        <f t="shared" si="7"/>
        <v>0</v>
      </c>
      <c r="K25" s="541">
        <f t="shared" si="7"/>
        <v>0</v>
      </c>
      <c r="L25" s="541">
        <f t="shared" si="7"/>
        <v>0</v>
      </c>
      <c r="M25" s="541">
        <f t="shared" si="7"/>
        <v>0</v>
      </c>
      <c r="N25" s="500">
        <f t="shared" si="8"/>
        <v>0</v>
      </c>
      <c r="O25" s="539"/>
      <c r="P25" s="542"/>
      <c r="Q25" s="540"/>
      <c r="R25" s="540"/>
      <c r="S25" s="540"/>
      <c r="T25" s="260"/>
      <c r="U25" s="260"/>
      <c r="V25" s="260"/>
      <c r="W25" s="260"/>
      <c r="X25" s="260"/>
      <c r="Y25" s="260"/>
      <c r="Z25" s="260"/>
    </row>
    <row r="26" ht="13.5" customHeight="1">
      <c r="A26" s="260"/>
      <c r="B26" s="260"/>
      <c r="C26" s="537" t="s">
        <v>194</v>
      </c>
      <c r="D26" s="500">
        <f t="shared" ref="D26:M26" si="9">D25*D24</f>
        <v>0</v>
      </c>
      <c r="E26" s="500">
        <f t="shared" si="9"/>
        <v>0</v>
      </c>
      <c r="F26" s="500">
        <f t="shared" si="9"/>
        <v>0</v>
      </c>
      <c r="G26" s="500">
        <f t="shared" si="9"/>
        <v>0</v>
      </c>
      <c r="H26" s="500">
        <f t="shared" si="9"/>
        <v>0</v>
      </c>
      <c r="I26" s="500">
        <f t="shared" si="9"/>
        <v>0</v>
      </c>
      <c r="J26" s="500">
        <f t="shared" si="9"/>
        <v>0</v>
      </c>
      <c r="K26" s="500">
        <f t="shared" si="9"/>
        <v>0</v>
      </c>
      <c r="L26" s="500">
        <f t="shared" si="9"/>
        <v>0</v>
      </c>
      <c r="M26" s="500">
        <f t="shared" si="9"/>
        <v>0</v>
      </c>
      <c r="N26" s="500">
        <f t="shared" si="8"/>
        <v>0</v>
      </c>
      <c r="O26" s="539"/>
      <c r="P26" s="542"/>
      <c r="Q26" s="540"/>
      <c r="R26" s="540"/>
      <c r="S26" s="540"/>
      <c r="T26" s="260"/>
      <c r="U26" s="260"/>
      <c r="V26" s="260"/>
      <c r="W26" s="260"/>
      <c r="X26" s="260"/>
      <c r="Y26" s="260"/>
      <c r="Z26" s="260"/>
    </row>
    <row r="27" ht="13.5" customHeight="1">
      <c r="A27" s="260"/>
      <c r="B27" s="260"/>
      <c r="C27" s="537" t="s">
        <v>195</v>
      </c>
      <c r="D27" s="500">
        <f t="shared" ref="D27:M27" si="10">D26*(1+0.05)</f>
        <v>0</v>
      </c>
      <c r="E27" s="500">
        <f t="shared" si="10"/>
        <v>0</v>
      </c>
      <c r="F27" s="500">
        <f t="shared" si="10"/>
        <v>0</v>
      </c>
      <c r="G27" s="500">
        <f t="shared" si="10"/>
        <v>0</v>
      </c>
      <c r="H27" s="500">
        <f t="shared" si="10"/>
        <v>0</v>
      </c>
      <c r="I27" s="500">
        <f t="shared" si="10"/>
        <v>0</v>
      </c>
      <c r="J27" s="500">
        <f t="shared" si="10"/>
        <v>0</v>
      </c>
      <c r="K27" s="500">
        <f t="shared" si="10"/>
        <v>0</v>
      </c>
      <c r="L27" s="500">
        <f t="shared" si="10"/>
        <v>0</v>
      </c>
      <c r="M27" s="500">
        <f t="shared" si="10"/>
        <v>0</v>
      </c>
      <c r="N27" s="500">
        <f t="shared" si="8"/>
        <v>0</v>
      </c>
      <c r="O27" s="543"/>
      <c r="P27" s="543"/>
      <c r="Q27" s="543"/>
      <c r="R27" s="543"/>
      <c r="S27" s="539"/>
      <c r="T27" s="260"/>
      <c r="U27" s="260"/>
      <c r="V27" s="260"/>
      <c r="W27" s="260"/>
      <c r="X27" s="260"/>
      <c r="Y27" s="260"/>
      <c r="Z27" s="260"/>
    </row>
    <row r="28" ht="13.5" customHeight="1">
      <c r="A28" s="260"/>
      <c r="B28" s="260"/>
      <c r="C28" s="544" t="s">
        <v>196</v>
      </c>
      <c r="D28" s="500"/>
      <c r="E28" s="500"/>
      <c r="F28" s="500"/>
      <c r="G28" s="500"/>
      <c r="H28" s="500"/>
      <c r="I28" s="500"/>
      <c r="J28" s="500"/>
      <c r="K28" s="500"/>
      <c r="L28" s="500"/>
      <c r="M28" s="500"/>
      <c r="N28" s="545" t="str">
        <f>3600/N27</f>
        <v>#DIV/0!</v>
      </c>
      <c r="O28" s="547"/>
      <c r="Q28" s="547"/>
      <c r="R28" s="547"/>
      <c r="S28" s="260"/>
      <c r="T28" s="260"/>
      <c r="U28" s="260"/>
      <c r="V28" s="260"/>
      <c r="W28" s="260"/>
      <c r="X28" s="260"/>
      <c r="Y28" s="260"/>
      <c r="Z28" s="260"/>
    </row>
    <row r="29" ht="13.5" customHeight="1">
      <c r="A29" s="260"/>
      <c r="B29" s="260"/>
      <c r="C29" s="260"/>
      <c r="D29" s="260"/>
      <c r="E29" s="260"/>
      <c r="F29" s="260"/>
      <c r="G29" s="260"/>
      <c r="H29" s="260"/>
      <c r="I29" s="260"/>
      <c r="J29" s="260"/>
      <c r="K29" s="260"/>
      <c r="L29" s="260"/>
      <c r="M29" s="260"/>
      <c r="N29" s="260"/>
      <c r="O29" s="547"/>
      <c r="Q29" s="547"/>
      <c r="R29" s="547"/>
      <c r="S29" s="260"/>
      <c r="T29" s="260"/>
      <c r="U29" s="260"/>
      <c r="V29" s="260"/>
      <c r="W29" s="260"/>
      <c r="X29" s="260"/>
      <c r="Y29" s="260"/>
      <c r="Z29" s="260"/>
    </row>
    <row r="30" ht="13.5" customHeight="1">
      <c r="A30" s="260"/>
      <c r="B30" s="260"/>
      <c r="C30" s="619" t="s">
        <v>357</v>
      </c>
      <c r="D30" s="521">
        <v>0.05</v>
      </c>
      <c r="E30" s="260"/>
      <c r="F30" s="260"/>
      <c r="G30" s="260"/>
      <c r="H30" s="260"/>
      <c r="I30" s="260"/>
      <c r="J30" s="260"/>
      <c r="K30" s="260"/>
      <c r="L30" s="260"/>
      <c r="M30" s="260"/>
      <c r="N30" s="260"/>
      <c r="O30" s="617"/>
      <c r="P30" s="617"/>
      <c r="Q30" s="617"/>
      <c r="R30" s="617"/>
      <c r="S30" s="260"/>
      <c r="T30" s="260"/>
      <c r="U30" s="260"/>
      <c r="V30" s="260"/>
      <c r="W30" s="260"/>
      <c r="X30" s="260"/>
      <c r="Y30" s="260"/>
      <c r="Z30" s="260"/>
    </row>
    <row r="31" ht="13.5" customHeight="1">
      <c r="A31" s="260"/>
      <c r="B31" s="260"/>
      <c r="C31" s="619" t="s">
        <v>358</v>
      </c>
      <c r="D31" s="338" t="s">
        <v>359</v>
      </c>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338"/>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635"/>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636"/>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4:S24"/>
    <mergeCell ref="O28:P28"/>
    <mergeCell ref="O29:P29"/>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5" width="16.29"/>
    <col customWidth="1" min="6" max="6" width="14.57"/>
    <col customWidth="1" min="7" max="7" width="13.57"/>
    <col customWidth="1" min="8" max="8" width="14.71"/>
    <col customWidth="1" min="9" max="9" width="15.86"/>
    <col customWidth="1" min="10" max="10" width="15.57"/>
    <col customWidth="1" min="11" max="11" width="14.71"/>
    <col customWidth="1" min="12" max="12" width="14.29"/>
    <col customWidth="1" min="13" max="13" width="14.43"/>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469</v>
      </c>
      <c r="C4" s="468"/>
      <c r="D4" s="469"/>
      <c r="E4" s="470" t="s">
        <v>158</v>
      </c>
      <c r="F4" s="468"/>
      <c r="G4" s="469"/>
      <c r="H4" s="555" t="s">
        <v>470</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49" t="s">
        <v>163</v>
      </c>
      <c r="Q7" s="650" t="s">
        <v>164</v>
      </c>
      <c r="R7" s="651"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652"/>
      <c r="Q8" s="117"/>
      <c r="R8" s="653"/>
      <c r="S8" s="260"/>
      <c r="T8" s="260"/>
      <c r="U8" s="260"/>
      <c r="V8" s="260"/>
      <c r="W8" s="260"/>
      <c r="X8" s="260"/>
      <c r="Y8" s="260"/>
      <c r="Z8" s="260"/>
    </row>
    <row r="9" ht="13.5" customHeight="1">
      <c r="A9" s="497"/>
      <c r="B9" s="498">
        <v>1.0</v>
      </c>
      <c r="C9" s="499" t="s">
        <v>471</v>
      </c>
      <c r="D9" s="500">
        <v>3351.14</v>
      </c>
      <c r="E9" s="500">
        <v>195.72</v>
      </c>
      <c r="F9" s="500">
        <v>350.64</v>
      </c>
      <c r="G9" s="500">
        <v>362.77</v>
      </c>
      <c r="H9" s="500">
        <v>308.66</v>
      </c>
      <c r="I9" s="500">
        <v>999.11</v>
      </c>
      <c r="J9" s="500">
        <v>216.54</v>
      </c>
      <c r="K9" s="500">
        <v>89.51</v>
      </c>
      <c r="L9" s="500">
        <v>67.29</v>
      </c>
      <c r="M9" s="500">
        <v>90.23</v>
      </c>
      <c r="N9" s="501">
        <f t="shared" ref="N9:N10" si="2">SUM(D9:M9)</f>
        <v>6031.61</v>
      </c>
      <c r="O9" s="485"/>
      <c r="P9" s="654">
        <f>AVERAGE(D9:M9)</f>
        <v>603.161</v>
      </c>
      <c r="Q9" s="630">
        <f>MAX(D9:M9)</f>
        <v>3351.14</v>
      </c>
      <c r="R9" s="655">
        <f>P9/$P$10</f>
        <v>1</v>
      </c>
      <c r="S9" s="497"/>
      <c r="T9" s="497"/>
      <c r="U9" s="497"/>
      <c r="V9" s="497"/>
      <c r="W9" s="497"/>
      <c r="X9" s="497"/>
      <c r="Y9" s="497"/>
      <c r="Z9" s="497"/>
    </row>
    <row r="10" ht="13.5" customHeight="1">
      <c r="A10" s="260"/>
      <c r="B10" s="507"/>
      <c r="C10" s="508" t="s">
        <v>180</v>
      </c>
      <c r="D10" s="613">
        <f t="shared" ref="D10:M10" si="1">SUM(D9)</f>
        <v>3351.14</v>
      </c>
      <c r="E10" s="613">
        <f t="shared" si="1"/>
        <v>195.72</v>
      </c>
      <c r="F10" s="613">
        <f t="shared" si="1"/>
        <v>350.64</v>
      </c>
      <c r="G10" s="613">
        <f t="shared" si="1"/>
        <v>362.77</v>
      </c>
      <c r="H10" s="613">
        <f t="shared" si="1"/>
        <v>308.66</v>
      </c>
      <c r="I10" s="613">
        <f t="shared" si="1"/>
        <v>999.11</v>
      </c>
      <c r="J10" s="613">
        <f t="shared" si="1"/>
        <v>216.54</v>
      </c>
      <c r="K10" s="613">
        <f t="shared" si="1"/>
        <v>89.51</v>
      </c>
      <c r="L10" s="613">
        <f t="shared" si="1"/>
        <v>67.29</v>
      </c>
      <c r="M10" s="613">
        <f t="shared" si="1"/>
        <v>90.23</v>
      </c>
      <c r="N10" s="510">
        <f t="shared" si="2"/>
        <v>6031.61</v>
      </c>
      <c r="O10" s="656" t="s">
        <v>10</v>
      </c>
      <c r="P10" s="657">
        <f t="shared" ref="P10:R10" si="3">SUM(P9)</f>
        <v>603.161</v>
      </c>
      <c r="Q10" s="657">
        <f t="shared" si="3"/>
        <v>3351.14</v>
      </c>
      <c r="R10" s="657">
        <f t="shared" si="3"/>
        <v>1</v>
      </c>
      <c r="S10" s="260"/>
      <c r="T10" s="260"/>
      <c r="U10" s="260"/>
      <c r="V10" s="260"/>
      <c r="W10" s="260"/>
      <c r="X10" s="260"/>
      <c r="Y10" s="260"/>
      <c r="Z10" s="260"/>
    </row>
    <row r="11" ht="13.5" customHeight="1">
      <c r="A11" s="260"/>
      <c r="B11" s="260"/>
      <c r="C11" s="514"/>
      <c r="D11" s="515"/>
      <c r="E11" s="515"/>
      <c r="F11" s="515"/>
      <c r="G11" s="515"/>
      <c r="H11" s="515"/>
      <c r="I11" s="515"/>
      <c r="J11" s="515"/>
      <c r="K11" s="515"/>
      <c r="L11" s="515"/>
      <c r="M11" s="515"/>
      <c r="N11" s="516">
        <f>N10/60</f>
        <v>100.5268333</v>
      </c>
      <c r="O11" s="479"/>
      <c r="P11" s="515"/>
      <c r="Q11" s="515"/>
      <c r="R11" s="479"/>
      <c r="S11" s="260"/>
      <c r="T11" s="260"/>
      <c r="U11" s="260"/>
      <c r="V11" s="260"/>
      <c r="W11" s="260"/>
      <c r="X11" s="260"/>
      <c r="Y11" s="260"/>
      <c r="Z11" s="260"/>
    </row>
    <row r="12" ht="13.5" customHeight="1">
      <c r="A12" s="260"/>
      <c r="B12" s="260"/>
      <c r="C12" s="514"/>
      <c r="D12" s="515"/>
      <c r="E12" s="515"/>
      <c r="F12" s="515"/>
      <c r="G12" s="515" t="s">
        <v>137</v>
      </c>
      <c r="H12" s="515"/>
      <c r="I12" s="515"/>
      <c r="J12" s="515"/>
      <c r="K12" s="515"/>
      <c r="L12" s="515"/>
      <c r="M12" s="515"/>
      <c r="N12" s="517" t="s">
        <v>182</v>
      </c>
      <c r="O12" s="479"/>
      <c r="P12" s="515"/>
      <c r="Q12" s="515"/>
      <c r="R12" s="479"/>
      <c r="S12" s="260"/>
      <c r="T12" s="260"/>
      <c r="U12" s="260"/>
      <c r="V12" s="260"/>
      <c r="W12" s="260"/>
      <c r="X12" s="260"/>
      <c r="Y12" s="260"/>
      <c r="Z12" s="260"/>
    </row>
    <row r="13" ht="7.5" customHeight="1">
      <c r="A13" s="260"/>
      <c r="B13" s="260"/>
      <c r="C13" s="514"/>
      <c r="D13" s="515"/>
      <c r="E13" s="515"/>
      <c r="F13" s="515"/>
      <c r="G13" s="515"/>
      <c r="H13" s="515"/>
      <c r="I13" s="515"/>
      <c r="J13" s="515"/>
      <c r="K13" s="515"/>
      <c r="L13" s="515"/>
      <c r="M13" s="515"/>
      <c r="N13" s="516"/>
      <c r="O13" s="479"/>
      <c r="P13" s="515"/>
      <c r="Q13" s="515"/>
      <c r="R13" s="479"/>
      <c r="S13" s="260"/>
      <c r="T13" s="260"/>
      <c r="U13" s="260"/>
      <c r="V13" s="260"/>
      <c r="W13" s="260"/>
      <c r="X13" s="260"/>
      <c r="Y13" s="260"/>
      <c r="Z13" s="260"/>
    </row>
    <row r="14" ht="13.5" customHeight="1">
      <c r="A14" s="260"/>
      <c r="B14" s="260"/>
      <c r="C14" s="518" t="s">
        <v>417</v>
      </c>
      <c r="D14" s="522">
        <v>1.0</v>
      </c>
      <c r="E14" s="522">
        <v>1.0</v>
      </c>
      <c r="F14" s="522">
        <v>1.0</v>
      </c>
      <c r="G14" s="522">
        <v>1.0</v>
      </c>
      <c r="H14" s="522">
        <v>2.0</v>
      </c>
      <c r="I14" s="522">
        <v>2.0</v>
      </c>
      <c r="J14" s="522">
        <v>1.0</v>
      </c>
      <c r="K14" s="522">
        <v>1.0</v>
      </c>
      <c r="L14" s="522">
        <v>1.0</v>
      </c>
      <c r="M14" s="522">
        <v>1.0</v>
      </c>
      <c r="N14" s="520"/>
      <c r="O14" s="479"/>
      <c r="P14" s="479"/>
      <c r="Q14" s="521"/>
      <c r="R14" s="260"/>
      <c r="S14" s="260"/>
      <c r="T14" s="260"/>
      <c r="U14" s="260"/>
      <c r="V14" s="260"/>
      <c r="W14" s="260"/>
      <c r="X14" s="260"/>
      <c r="Y14" s="260"/>
      <c r="Z14" s="260"/>
    </row>
    <row r="15" ht="13.5" customHeight="1">
      <c r="A15" s="260"/>
      <c r="B15" s="260"/>
      <c r="C15" s="518" t="s">
        <v>294</v>
      </c>
      <c r="D15" s="522" t="s">
        <v>324</v>
      </c>
      <c r="E15" s="569">
        <v>6.51046832008139E14</v>
      </c>
      <c r="F15" s="569">
        <v>6.56381310326727E14</v>
      </c>
      <c r="G15" s="569">
        <v>6.5895234256772E13</v>
      </c>
      <c r="H15" s="569">
        <v>6.57090395070602E14</v>
      </c>
      <c r="I15" s="522" t="s">
        <v>472</v>
      </c>
      <c r="J15" s="522" t="s">
        <v>473</v>
      </c>
      <c r="K15" s="569">
        <v>6.55535095529333E14</v>
      </c>
      <c r="L15" s="569">
        <v>6.55706284255091E14</v>
      </c>
      <c r="M15" s="569">
        <v>6.55582036159987E14</v>
      </c>
      <c r="N15" s="520"/>
      <c r="O15" s="479"/>
      <c r="P15" s="479"/>
      <c r="Q15" s="521"/>
      <c r="R15" s="260"/>
      <c r="S15" s="260"/>
      <c r="T15" s="260"/>
      <c r="U15" s="260"/>
      <c r="V15" s="260"/>
      <c r="W15" s="260"/>
      <c r="X15" s="260"/>
      <c r="Y15" s="260"/>
      <c r="Z15" s="260"/>
    </row>
    <row r="16" ht="13.5" customHeight="1">
      <c r="A16" s="260"/>
      <c r="B16" s="260"/>
      <c r="C16" s="518" t="s">
        <v>187</v>
      </c>
      <c r="D16" s="522" t="s">
        <v>328</v>
      </c>
      <c r="E16" s="522" t="s">
        <v>328</v>
      </c>
      <c r="F16" s="522" t="s">
        <v>328</v>
      </c>
      <c r="G16" s="522" t="s">
        <v>328</v>
      </c>
      <c r="H16" s="522" t="s">
        <v>328</v>
      </c>
      <c r="I16" s="522" t="s">
        <v>328</v>
      </c>
      <c r="J16" s="522" t="s">
        <v>328</v>
      </c>
      <c r="K16" s="522" t="s">
        <v>328</v>
      </c>
      <c r="L16" s="522" t="s">
        <v>328</v>
      </c>
      <c r="M16" s="522" t="s">
        <v>328</v>
      </c>
      <c r="N16" s="520"/>
      <c r="O16" s="479"/>
      <c r="P16" s="479"/>
      <c r="Q16" s="521"/>
      <c r="R16" s="260"/>
      <c r="S16" s="260"/>
      <c r="T16" s="260"/>
      <c r="U16" s="260"/>
      <c r="V16" s="260"/>
      <c r="W16" s="260"/>
      <c r="X16" s="260"/>
      <c r="Y16" s="260"/>
      <c r="Z16" s="260"/>
    </row>
    <row r="17" ht="13.5" customHeight="1">
      <c r="A17" s="260"/>
      <c r="B17" s="260"/>
      <c r="C17" s="518" t="s">
        <v>474</v>
      </c>
      <c r="D17" s="522" t="s">
        <v>439</v>
      </c>
      <c r="E17" s="522" t="s">
        <v>273</v>
      </c>
      <c r="F17" s="522" t="s">
        <v>439</v>
      </c>
      <c r="G17" s="522" t="s">
        <v>439</v>
      </c>
      <c r="H17" s="522" t="s">
        <v>273</v>
      </c>
      <c r="I17" s="522" t="s">
        <v>439</v>
      </c>
      <c r="J17" s="522" t="s">
        <v>274</v>
      </c>
      <c r="K17" s="522" t="s">
        <v>439</v>
      </c>
      <c r="L17" s="522" t="s">
        <v>439</v>
      </c>
      <c r="M17" s="522" t="s">
        <v>439</v>
      </c>
      <c r="N17" s="520"/>
      <c r="O17" s="479"/>
      <c r="P17" s="479"/>
      <c r="Q17" s="521"/>
      <c r="R17" s="260"/>
      <c r="S17" s="260"/>
      <c r="T17" s="260"/>
      <c r="U17" s="260"/>
      <c r="V17" s="260"/>
      <c r="W17" s="260"/>
      <c r="X17" s="260"/>
      <c r="Y17" s="260"/>
      <c r="Z17" s="260"/>
    </row>
    <row r="18" ht="13.5" customHeight="1">
      <c r="A18" s="260"/>
      <c r="B18" s="260"/>
      <c r="C18" s="570" t="s">
        <v>243</v>
      </c>
      <c r="D18" s="658" t="s">
        <v>402</v>
      </c>
      <c r="E18" s="571" t="s">
        <v>402</v>
      </c>
      <c r="F18" s="571" t="s">
        <v>402</v>
      </c>
      <c r="G18" s="571" t="s">
        <v>402</v>
      </c>
      <c r="H18" s="571" t="s">
        <v>475</v>
      </c>
      <c r="I18" s="571" t="s">
        <v>402</v>
      </c>
      <c r="J18" s="571" t="s">
        <v>402</v>
      </c>
      <c r="K18" s="658" t="s">
        <v>476</v>
      </c>
      <c r="L18" s="571" t="s">
        <v>402</v>
      </c>
      <c r="M18" s="658" t="s">
        <v>476</v>
      </c>
      <c r="N18" s="520"/>
      <c r="O18" s="479"/>
      <c r="P18" s="479"/>
      <c r="Q18" s="521"/>
      <c r="R18" s="260"/>
      <c r="S18" s="260"/>
      <c r="T18" s="260"/>
      <c r="U18" s="260"/>
      <c r="V18" s="260"/>
      <c r="W18" s="260"/>
      <c r="X18" s="260"/>
      <c r="Y18" s="260"/>
      <c r="Z18" s="260"/>
    </row>
    <row r="19" ht="13.5" customHeight="1">
      <c r="A19" s="260"/>
      <c r="B19" s="260"/>
      <c r="C19" s="572" t="s">
        <v>304</v>
      </c>
      <c r="D19" s="659"/>
      <c r="E19" s="633"/>
      <c r="F19" s="634" t="s">
        <v>477</v>
      </c>
      <c r="G19" s="634" t="s">
        <v>477</v>
      </c>
      <c r="H19" s="634" t="s">
        <v>478</v>
      </c>
      <c r="I19" s="634" t="s">
        <v>479</v>
      </c>
      <c r="J19" s="633"/>
      <c r="K19" s="633" t="s">
        <v>480</v>
      </c>
      <c r="L19" s="633"/>
      <c r="M19" s="633" t="s">
        <v>480</v>
      </c>
      <c r="N19" s="520"/>
      <c r="O19" s="479"/>
      <c r="P19" s="479"/>
      <c r="Q19" s="521"/>
      <c r="R19" s="260"/>
      <c r="S19" s="260"/>
      <c r="T19" s="260"/>
      <c r="U19" s="260"/>
      <c r="V19" s="260"/>
      <c r="W19" s="260"/>
      <c r="X19" s="260"/>
      <c r="Y19" s="260"/>
      <c r="Z19" s="260"/>
    </row>
    <row r="20" ht="13.5" customHeight="1">
      <c r="A20" s="260"/>
      <c r="B20" s="260"/>
      <c r="C20" s="514"/>
      <c r="D20" s="479"/>
      <c r="E20" s="479"/>
      <c r="F20" s="479"/>
      <c r="G20" s="479"/>
      <c r="H20" s="479"/>
      <c r="I20" s="479"/>
      <c r="J20" s="479"/>
      <c r="K20" s="479"/>
      <c r="L20" s="479"/>
      <c r="M20" s="479"/>
      <c r="N20" s="520"/>
      <c r="O20" s="479"/>
      <c r="P20" s="479"/>
      <c r="Q20" s="521"/>
      <c r="R20" s="260"/>
      <c r="S20" s="260"/>
      <c r="T20" s="260"/>
      <c r="U20" s="260"/>
      <c r="V20" s="260"/>
      <c r="W20" s="260"/>
      <c r="X20" s="260"/>
      <c r="Y20" s="260"/>
      <c r="Z20" s="260"/>
    </row>
    <row r="21" ht="13.5" customHeight="1">
      <c r="A21" s="532"/>
      <c r="B21" s="532"/>
      <c r="C21" s="548" t="s">
        <v>422</v>
      </c>
      <c r="D21" s="532"/>
      <c r="E21" s="532"/>
      <c r="F21" s="532"/>
      <c r="G21" s="532"/>
      <c r="H21" s="532"/>
      <c r="I21" s="532"/>
      <c r="J21" s="532"/>
      <c r="K21" s="532"/>
      <c r="L21" s="532"/>
      <c r="M21" s="532"/>
      <c r="N21" s="534" t="s">
        <v>163</v>
      </c>
      <c r="O21" s="535"/>
      <c r="P21" s="535"/>
      <c r="Q21" s="535"/>
      <c r="R21" s="536"/>
      <c r="S21" s="536"/>
      <c r="T21" s="532"/>
      <c r="U21" s="532"/>
      <c r="V21" s="532"/>
      <c r="W21" s="532"/>
      <c r="X21" s="532"/>
      <c r="Y21" s="532"/>
      <c r="Z21" s="532"/>
    </row>
    <row r="22" ht="13.5" customHeight="1">
      <c r="A22" s="260"/>
      <c r="B22" s="260"/>
      <c r="C22" s="537" t="s">
        <v>192</v>
      </c>
      <c r="D22" s="538">
        <v>1.0</v>
      </c>
      <c r="E22" s="538">
        <v>1.0</v>
      </c>
      <c r="F22" s="538">
        <v>1.0</v>
      </c>
      <c r="G22" s="538">
        <v>1.0</v>
      </c>
      <c r="H22" s="538">
        <v>1.0</v>
      </c>
      <c r="I22" s="538">
        <v>1.0</v>
      </c>
      <c r="J22" s="538">
        <v>1.0</v>
      </c>
      <c r="K22" s="538">
        <v>1.0</v>
      </c>
      <c r="L22" s="538">
        <v>1.0</v>
      </c>
      <c r="M22" s="538">
        <v>1.0</v>
      </c>
      <c r="N22" s="538">
        <f t="shared" ref="N22:N25" si="5">AVERAGE(D22:M22)</f>
        <v>1</v>
      </c>
      <c r="O22" s="539"/>
      <c r="P22" s="540"/>
      <c r="T22" s="260"/>
      <c r="U22" s="260"/>
      <c r="V22" s="260"/>
      <c r="W22" s="260"/>
      <c r="X22" s="260"/>
      <c r="Y22" s="260"/>
      <c r="Z22" s="260"/>
    </row>
    <row r="23" ht="13.5" customHeight="1">
      <c r="A23" s="260"/>
      <c r="B23" s="260"/>
      <c r="C23" s="537" t="s">
        <v>193</v>
      </c>
      <c r="D23" s="500">
        <f t="shared" ref="D23:M23" si="4">D10/D14</f>
        <v>3351.14</v>
      </c>
      <c r="E23" s="500">
        <f t="shared" si="4"/>
        <v>195.72</v>
      </c>
      <c r="F23" s="500">
        <f t="shared" si="4"/>
        <v>350.64</v>
      </c>
      <c r="G23" s="500">
        <f t="shared" si="4"/>
        <v>362.77</v>
      </c>
      <c r="H23" s="500">
        <f t="shared" si="4"/>
        <v>154.33</v>
      </c>
      <c r="I23" s="500">
        <f t="shared" si="4"/>
        <v>499.555</v>
      </c>
      <c r="J23" s="500">
        <f t="shared" si="4"/>
        <v>216.54</v>
      </c>
      <c r="K23" s="500">
        <f t="shared" si="4"/>
        <v>89.51</v>
      </c>
      <c r="L23" s="500">
        <f t="shared" si="4"/>
        <v>67.29</v>
      </c>
      <c r="M23" s="500">
        <f t="shared" si="4"/>
        <v>90.23</v>
      </c>
      <c r="N23" s="500">
        <f t="shared" si="5"/>
        <v>537.7725</v>
      </c>
      <c r="O23" s="539"/>
      <c r="P23" s="542"/>
      <c r="Q23" s="540"/>
      <c r="R23" s="540"/>
      <c r="S23" s="540"/>
      <c r="T23" s="260"/>
      <c r="U23" s="260"/>
      <c r="V23" s="260"/>
      <c r="W23" s="260"/>
      <c r="X23" s="260"/>
      <c r="Y23" s="260"/>
      <c r="Z23" s="260"/>
    </row>
    <row r="24" ht="13.5" customHeight="1">
      <c r="A24" s="260"/>
      <c r="B24" s="260"/>
      <c r="C24" s="537" t="s">
        <v>194</v>
      </c>
      <c r="D24" s="500">
        <f t="shared" ref="D24:M24" si="6">D23*D22</f>
        <v>3351.14</v>
      </c>
      <c r="E24" s="500">
        <f t="shared" si="6"/>
        <v>195.72</v>
      </c>
      <c r="F24" s="500">
        <f t="shared" si="6"/>
        <v>350.64</v>
      </c>
      <c r="G24" s="500">
        <f t="shared" si="6"/>
        <v>362.77</v>
      </c>
      <c r="H24" s="500">
        <f t="shared" si="6"/>
        <v>154.33</v>
      </c>
      <c r="I24" s="500">
        <f t="shared" si="6"/>
        <v>499.555</v>
      </c>
      <c r="J24" s="500">
        <f t="shared" si="6"/>
        <v>216.54</v>
      </c>
      <c r="K24" s="500">
        <f t="shared" si="6"/>
        <v>89.51</v>
      </c>
      <c r="L24" s="500">
        <f t="shared" si="6"/>
        <v>67.29</v>
      </c>
      <c r="M24" s="500">
        <f t="shared" si="6"/>
        <v>90.23</v>
      </c>
      <c r="N24" s="500">
        <f t="shared" si="5"/>
        <v>537.7725</v>
      </c>
      <c r="O24" s="539"/>
      <c r="P24" s="542"/>
      <c r="Q24" s="540"/>
      <c r="R24" s="540"/>
      <c r="S24" s="540"/>
      <c r="T24" s="260"/>
      <c r="U24" s="260"/>
      <c r="V24" s="260"/>
      <c r="W24" s="260"/>
      <c r="X24" s="260"/>
      <c r="Y24" s="260"/>
      <c r="Z24" s="260"/>
    </row>
    <row r="25" ht="13.5" customHeight="1">
      <c r="A25" s="260"/>
      <c r="B25" s="260"/>
      <c r="C25" s="537" t="s">
        <v>195</v>
      </c>
      <c r="D25" s="500">
        <f t="shared" ref="D25:M25" si="7">D24*(1+0.05)</f>
        <v>3518.697</v>
      </c>
      <c r="E25" s="500">
        <f t="shared" si="7"/>
        <v>205.506</v>
      </c>
      <c r="F25" s="500">
        <f t="shared" si="7"/>
        <v>368.172</v>
      </c>
      <c r="G25" s="500">
        <f t="shared" si="7"/>
        <v>380.9085</v>
      </c>
      <c r="H25" s="500">
        <f t="shared" si="7"/>
        <v>162.0465</v>
      </c>
      <c r="I25" s="500">
        <f t="shared" si="7"/>
        <v>524.53275</v>
      </c>
      <c r="J25" s="500">
        <f t="shared" si="7"/>
        <v>227.367</v>
      </c>
      <c r="K25" s="500">
        <f t="shared" si="7"/>
        <v>93.9855</v>
      </c>
      <c r="L25" s="500">
        <f t="shared" si="7"/>
        <v>70.6545</v>
      </c>
      <c r="M25" s="500">
        <f t="shared" si="7"/>
        <v>94.7415</v>
      </c>
      <c r="N25" s="500">
        <f t="shared" si="5"/>
        <v>564.661125</v>
      </c>
      <c r="O25" s="543"/>
      <c r="P25" s="543"/>
      <c r="Q25" s="543"/>
      <c r="R25" s="543"/>
      <c r="S25" s="539"/>
      <c r="T25" s="260"/>
      <c r="U25" s="260"/>
      <c r="V25" s="260"/>
      <c r="W25" s="260"/>
      <c r="X25" s="260"/>
      <c r="Y25" s="260"/>
      <c r="Z25" s="260"/>
    </row>
    <row r="26" ht="13.5" customHeight="1">
      <c r="A26" s="260"/>
      <c r="B26" s="260"/>
      <c r="C26" s="544" t="s">
        <v>196</v>
      </c>
      <c r="D26" s="618">
        <f t="shared" ref="D26:M26" si="8">(D25/3600)*100</f>
        <v>97.74158333</v>
      </c>
      <c r="E26" s="618">
        <f t="shared" si="8"/>
        <v>5.7085</v>
      </c>
      <c r="F26" s="618">
        <f t="shared" si="8"/>
        <v>10.227</v>
      </c>
      <c r="G26" s="618">
        <f t="shared" si="8"/>
        <v>10.58079167</v>
      </c>
      <c r="H26" s="618">
        <f t="shared" si="8"/>
        <v>4.501291667</v>
      </c>
      <c r="I26" s="618">
        <f t="shared" si="8"/>
        <v>14.57035417</v>
      </c>
      <c r="J26" s="618">
        <f t="shared" si="8"/>
        <v>6.31575</v>
      </c>
      <c r="K26" s="618">
        <f t="shared" si="8"/>
        <v>2.610708333</v>
      </c>
      <c r="L26" s="618">
        <f t="shared" si="8"/>
        <v>1.962625</v>
      </c>
      <c r="M26" s="618">
        <f t="shared" si="8"/>
        <v>2.631708333</v>
      </c>
      <c r="N26" s="545">
        <f>3600/N25</f>
        <v>6.375505309</v>
      </c>
      <c r="O26" s="547"/>
      <c r="Q26" s="547"/>
      <c r="R26" s="547"/>
      <c r="S26" s="260"/>
      <c r="T26" s="260"/>
      <c r="U26" s="260"/>
      <c r="V26" s="260"/>
      <c r="W26" s="260"/>
      <c r="X26" s="260"/>
      <c r="Y26" s="260"/>
      <c r="Z26" s="260"/>
    </row>
    <row r="27" ht="13.5" customHeight="1">
      <c r="A27" s="260"/>
      <c r="B27" s="260"/>
      <c r="C27" s="260"/>
      <c r="D27" s="260"/>
      <c r="E27" s="260"/>
      <c r="F27" s="260"/>
      <c r="G27" s="260"/>
      <c r="H27" s="260"/>
      <c r="I27" s="260"/>
      <c r="J27" s="260"/>
      <c r="K27" s="260"/>
      <c r="L27" s="260"/>
      <c r="M27" s="260"/>
      <c r="N27" s="260"/>
      <c r="O27" s="547"/>
      <c r="Q27" s="547"/>
      <c r="R27" s="547"/>
      <c r="S27" s="260"/>
      <c r="T27" s="260"/>
      <c r="U27" s="260"/>
      <c r="V27" s="260"/>
      <c r="W27" s="260"/>
      <c r="X27" s="260"/>
      <c r="Y27" s="260"/>
      <c r="Z27" s="260"/>
    </row>
    <row r="28" ht="13.5" customHeight="1">
      <c r="A28" s="260"/>
      <c r="B28" s="260"/>
      <c r="C28" s="619" t="s">
        <v>357</v>
      </c>
      <c r="D28" s="521">
        <v>0.05</v>
      </c>
      <c r="E28" s="260"/>
      <c r="F28" s="260"/>
      <c r="G28" s="260"/>
      <c r="H28" s="260"/>
      <c r="I28" s="260"/>
      <c r="J28" s="260"/>
      <c r="K28" s="260"/>
      <c r="L28" s="260"/>
      <c r="M28" s="260"/>
      <c r="N28" s="260"/>
      <c r="O28" s="617"/>
      <c r="P28" s="617"/>
      <c r="Q28" s="617"/>
      <c r="R28" s="617"/>
      <c r="S28" s="260"/>
      <c r="T28" s="260"/>
      <c r="U28" s="260"/>
      <c r="V28" s="260"/>
      <c r="W28" s="260"/>
      <c r="X28" s="260"/>
      <c r="Y28" s="260"/>
      <c r="Z28" s="260"/>
    </row>
    <row r="29" ht="13.5" customHeight="1">
      <c r="A29" s="260"/>
      <c r="B29" s="260"/>
      <c r="C29" s="619" t="s">
        <v>358</v>
      </c>
      <c r="D29" s="338" t="s">
        <v>359</v>
      </c>
      <c r="E29" s="260"/>
      <c r="F29" s="260"/>
      <c r="G29" s="260"/>
      <c r="H29" s="260"/>
      <c r="I29" s="260"/>
      <c r="J29" s="260"/>
      <c r="K29" s="260"/>
      <c r="L29" s="260"/>
      <c r="M29" s="260"/>
      <c r="N29" s="260"/>
      <c r="O29" s="260"/>
      <c r="P29" s="260"/>
      <c r="Q29" s="260"/>
      <c r="R29" s="260"/>
      <c r="S29" s="260"/>
      <c r="T29" s="260"/>
      <c r="U29" s="260"/>
      <c r="V29" s="260"/>
      <c r="W29" s="260"/>
      <c r="X29" s="260"/>
      <c r="Y29" s="260"/>
      <c r="Z29" s="260"/>
    </row>
    <row r="30" ht="13.5" customHeight="1">
      <c r="A30" s="260"/>
      <c r="B30" s="260"/>
      <c r="C30" s="260"/>
      <c r="D30" s="338"/>
      <c r="E30" s="260"/>
      <c r="F30" s="260"/>
      <c r="G30" s="260"/>
      <c r="H30" s="260"/>
      <c r="I30" s="260"/>
      <c r="J30" s="260"/>
      <c r="K30" s="260"/>
      <c r="L30" s="260"/>
      <c r="M30" s="260"/>
      <c r="N30" s="260"/>
      <c r="O30" s="260"/>
      <c r="P30" s="260"/>
      <c r="Q30" s="260"/>
      <c r="R30" s="260"/>
      <c r="S30" s="260"/>
      <c r="T30" s="260"/>
      <c r="U30" s="260"/>
      <c r="V30" s="260"/>
      <c r="W30" s="260"/>
      <c r="X30" s="260"/>
      <c r="Y30" s="260"/>
      <c r="Z30" s="260"/>
    </row>
    <row r="31" ht="13.5" customHeight="1">
      <c r="A31" s="260"/>
      <c r="B31" s="260"/>
      <c r="C31" s="635"/>
      <c r="D31" s="260"/>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260"/>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636"/>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2:S22"/>
    <mergeCell ref="O26:P26"/>
    <mergeCell ref="O27:P27"/>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9.57"/>
    <col customWidth="1" min="3" max="3" width="53.14"/>
    <col customWidth="1" min="4" max="4" width="14.71"/>
    <col customWidth="1" min="5" max="5" width="15.43"/>
    <col customWidth="1" min="6" max="6" width="15.86"/>
    <col customWidth="1" min="7" max="8" width="15.29"/>
    <col customWidth="1" min="9" max="9" width="15.71"/>
    <col customWidth="1" min="10" max="10" width="15.29"/>
    <col customWidth="1" min="11" max="11" width="15.71"/>
    <col customWidth="1" min="12" max="12" width="15.86"/>
    <col customWidth="1" min="13" max="13" width="15.57"/>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469</v>
      </c>
      <c r="C4" s="468"/>
      <c r="D4" s="469"/>
      <c r="E4" s="470" t="s">
        <v>158</v>
      </c>
      <c r="F4" s="468"/>
      <c r="G4" s="469"/>
      <c r="H4" s="555" t="s">
        <v>470</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49" t="s">
        <v>163</v>
      </c>
      <c r="Q7" s="650" t="s">
        <v>164</v>
      </c>
      <c r="R7" s="651"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652"/>
      <c r="Q8" s="117"/>
      <c r="R8" s="653"/>
      <c r="S8" s="260"/>
      <c r="T8" s="260"/>
      <c r="U8" s="260"/>
      <c r="V8" s="260"/>
      <c r="W8" s="260"/>
      <c r="X8" s="260"/>
      <c r="Y8" s="260"/>
      <c r="Z8" s="260"/>
    </row>
    <row r="9" ht="13.5" customHeight="1">
      <c r="A9" s="497"/>
      <c r="B9" s="498">
        <v>1.0</v>
      </c>
      <c r="C9" s="499" t="s">
        <v>481</v>
      </c>
      <c r="D9" s="500">
        <v>10.25</v>
      </c>
      <c r="E9" s="500">
        <v>31.75</v>
      </c>
      <c r="F9" s="500">
        <v>6.16</v>
      </c>
      <c r="G9" s="500">
        <v>13.06</v>
      </c>
      <c r="H9" s="500">
        <v>6.97</v>
      </c>
      <c r="I9" s="500">
        <v>6.0</v>
      </c>
      <c r="J9" s="500"/>
      <c r="K9" s="500"/>
      <c r="L9" s="500"/>
      <c r="M9" s="500"/>
      <c r="N9" s="501">
        <f t="shared" ref="N9:N13" si="1">SUM(D9:M9)</f>
        <v>74.19</v>
      </c>
      <c r="O9" s="485"/>
      <c r="P9" s="654">
        <f t="shared" ref="P9:P10" si="2">AVERAGE(D9:M9)</f>
        <v>12.365</v>
      </c>
      <c r="Q9" s="630">
        <f t="shared" ref="Q9:Q10" si="3">MAX(D9:M9)</f>
        <v>31.75</v>
      </c>
      <c r="R9" s="655">
        <f t="shared" ref="R9:R12" si="4">P9/$P$13</f>
        <v>0.06104580579</v>
      </c>
      <c r="S9" s="497"/>
      <c r="T9" s="497"/>
      <c r="U9" s="497"/>
      <c r="V9" s="497"/>
      <c r="W9" s="497"/>
      <c r="X9" s="497"/>
      <c r="Y9" s="497"/>
      <c r="Z9" s="497"/>
    </row>
    <row r="10" ht="13.5" customHeight="1">
      <c r="A10" s="485"/>
      <c r="B10" s="498">
        <v>2.0</v>
      </c>
      <c r="C10" s="563" t="s">
        <v>482</v>
      </c>
      <c r="D10" s="500">
        <v>10.32</v>
      </c>
      <c r="E10" s="500">
        <v>15.37</v>
      </c>
      <c r="F10" s="500">
        <v>17.28</v>
      </c>
      <c r="G10" s="500">
        <v>71.0</v>
      </c>
      <c r="H10" s="500">
        <v>21.49</v>
      </c>
      <c r="I10" s="500">
        <v>27.87</v>
      </c>
      <c r="J10" s="500">
        <v>12.04</v>
      </c>
      <c r="K10" s="500"/>
      <c r="L10" s="500">
        <v>8.27</v>
      </c>
      <c r="M10" s="500">
        <v>43.25</v>
      </c>
      <c r="N10" s="501">
        <f t="shared" si="1"/>
        <v>226.89</v>
      </c>
      <c r="O10" s="485"/>
      <c r="P10" s="654">
        <f t="shared" si="2"/>
        <v>25.21</v>
      </c>
      <c r="Q10" s="630">
        <f t="shared" si="3"/>
        <v>71</v>
      </c>
      <c r="R10" s="655">
        <f t="shared" si="4"/>
        <v>0.1244613638</v>
      </c>
      <c r="S10" s="485"/>
      <c r="T10" s="485"/>
      <c r="U10" s="485"/>
      <c r="V10" s="485"/>
      <c r="W10" s="485"/>
      <c r="X10" s="485"/>
      <c r="Y10" s="485"/>
      <c r="Z10" s="485"/>
    </row>
    <row r="11" ht="13.5" customHeight="1">
      <c r="A11" s="485"/>
      <c r="B11" s="498">
        <v>3.0</v>
      </c>
      <c r="C11" s="499" t="s">
        <v>483</v>
      </c>
      <c r="D11" s="500">
        <v>109.31</v>
      </c>
      <c r="E11" s="500">
        <v>91.74</v>
      </c>
      <c r="F11" s="500">
        <v>82.28</v>
      </c>
      <c r="G11" s="500">
        <v>245.34</v>
      </c>
      <c r="H11" s="500">
        <v>101.72</v>
      </c>
      <c r="I11" s="500">
        <v>36.65</v>
      </c>
      <c r="J11" s="500">
        <v>33.12</v>
      </c>
      <c r="K11" s="500">
        <v>62.19</v>
      </c>
      <c r="L11" s="500">
        <v>69.15</v>
      </c>
      <c r="M11" s="500">
        <v>30.36</v>
      </c>
      <c r="N11" s="501">
        <f t="shared" si="1"/>
        <v>861.86</v>
      </c>
      <c r="O11" s="485"/>
      <c r="P11" s="654">
        <f>AVERAGE(D11:N11)</f>
        <v>156.7018182</v>
      </c>
      <c r="Q11" s="630">
        <f>MAX(D11:N11)</f>
        <v>861.86</v>
      </c>
      <c r="R11" s="655">
        <f t="shared" si="4"/>
        <v>0.7736343517</v>
      </c>
      <c r="S11" s="485"/>
      <c r="T11" s="485"/>
      <c r="U11" s="485"/>
      <c r="V11" s="485"/>
      <c r="W11" s="485"/>
      <c r="X11" s="485"/>
      <c r="Y11" s="485"/>
      <c r="Z11" s="485"/>
    </row>
    <row r="12" ht="13.5" customHeight="1">
      <c r="A12" s="485"/>
      <c r="B12" s="498">
        <v>4.0</v>
      </c>
      <c r="C12" s="499" t="s">
        <v>484</v>
      </c>
      <c r="D12" s="500">
        <v>7.21</v>
      </c>
      <c r="E12" s="500">
        <v>2.34</v>
      </c>
      <c r="F12" s="500">
        <v>5.16</v>
      </c>
      <c r="G12" s="500">
        <v>6.08</v>
      </c>
      <c r="H12" s="500">
        <v>5.37</v>
      </c>
      <c r="I12" s="500">
        <v>2.41</v>
      </c>
      <c r="J12" s="500">
        <v>4.7</v>
      </c>
      <c r="K12" s="500">
        <v>27.87</v>
      </c>
      <c r="L12" s="500">
        <v>10.47</v>
      </c>
      <c r="M12" s="500">
        <v>11.15</v>
      </c>
      <c r="N12" s="501">
        <f t="shared" si="1"/>
        <v>82.76</v>
      </c>
      <c r="O12" s="656"/>
      <c r="P12" s="654">
        <f>AVERAGE(D12:M12)</f>
        <v>8.276</v>
      </c>
      <c r="Q12" s="630">
        <f>MAX(D12:M12)</f>
        <v>27.87</v>
      </c>
      <c r="R12" s="655">
        <f t="shared" si="4"/>
        <v>0.04085847866</v>
      </c>
      <c r="S12" s="485"/>
      <c r="T12" s="485"/>
      <c r="U12" s="485"/>
      <c r="V12" s="485"/>
      <c r="W12" s="485"/>
      <c r="X12" s="485"/>
      <c r="Y12" s="485"/>
      <c r="Z12" s="485"/>
    </row>
    <row r="13" ht="13.5" customHeight="1">
      <c r="A13" s="260"/>
      <c r="B13" s="507"/>
      <c r="C13" s="508" t="s">
        <v>180</v>
      </c>
      <c r="D13" s="613">
        <f t="shared" ref="D13:M13" si="5">SUM(D9:D12)</f>
        <v>137.09</v>
      </c>
      <c r="E13" s="613">
        <f t="shared" si="5"/>
        <v>141.2</v>
      </c>
      <c r="F13" s="613">
        <f t="shared" si="5"/>
        <v>110.88</v>
      </c>
      <c r="G13" s="613">
        <f t="shared" si="5"/>
        <v>335.48</v>
      </c>
      <c r="H13" s="613">
        <f t="shared" si="5"/>
        <v>135.55</v>
      </c>
      <c r="I13" s="613">
        <f t="shared" si="5"/>
        <v>72.93</v>
      </c>
      <c r="J13" s="613">
        <f t="shared" si="5"/>
        <v>49.86</v>
      </c>
      <c r="K13" s="613">
        <f t="shared" si="5"/>
        <v>90.06</v>
      </c>
      <c r="L13" s="613">
        <f t="shared" si="5"/>
        <v>87.89</v>
      </c>
      <c r="M13" s="613">
        <f t="shared" si="5"/>
        <v>84.76</v>
      </c>
      <c r="N13" s="510">
        <f t="shared" si="1"/>
        <v>1245.7</v>
      </c>
      <c r="O13" s="656" t="s">
        <v>10</v>
      </c>
      <c r="P13" s="657">
        <f t="shared" ref="P13:R13" si="6">SUM(P9:P12)</f>
        <v>202.5528182</v>
      </c>
      <c r="Q13" s="657">
        <f t="shared" si="6"/>
        <v>992.48</v>
      </c>
      <c r="R13" s="657">
        <f t="shared" si="6"/>
        <v>1</v>
      </c>
      <c r="S13" s="260"/>
      <c r="T13" s="260"/>
      <c r="U13" s="260"/>
      <c r="V13" s="260"/>
      <c r="W13" s="260"/>
      <c r="X13" s="260"/>
      <c r="Y13" s="260"/>
      <c r="Z13" s="260"/>
    </row>
    <row r="14" ht="13.5" customHeight="1">
      <c r="A14" s="260"/>
      <c r="B14" s="260"/>
      <c r="C14" s="514"/>
      <c r="D14" s="515"/>
      <c r="E14" s="515"/>
      <c r="F14" s="515"/>
      <c r="G14" s="515"/>
      <c r="H14" s="515"/>
      <c r="I14" s="515"/>
      <c r="J14" s="515"/>
      <c r="K14" s="515"/>
      <c r="L14" s="515"/>
      <c r="M14" s="515"/>
      <c r="N14" s="516">
        <f>N13/60</f>
        <v>20.76166667</v>
      </c>
      <c r="O14" s="479"/>
      <c r="P14" s="515"/>
      <c r="Q14" s="515"/>
      <c r="R14" s="479"/>
      <c r="S14" s="260"/>
      <c r="T14" s="260"/>
      <c r="U14" s="260"/>
      <c r="V14" s="260"/>
      <c r="W14" s="260"/>
      <c r="X14" s="260"/>
      <c r="Y14" s="260"/>
      <c r="Z14" s="260"/>
    </row>
    <row r="15" ht="13.5" customHeight="1">
      <c r="A15" s="260"/>
      <c r="B15" s="260"/>
      <c r="C15" s="514"/>
      <c r="D15" s="515"/>
      <c r="E15" s="515"/>
      <c r="F15" s="515"/>
      <c r="G15" s="515" t="s">
        <v>137</v>
      </c>
      <c r="H15" s="515"/>
      <c r="I15" s="515"/>
      <c r="J15" s="515"/>
      <c r="K15" s="515"/>
      <c r="L15" s="515"/>
      <c r="M15" s="515"/>
      <c r="N15" s="517" t="s">
        <v>182</v>
      </c>
      <c r="O15" s="479"/>
      <c r="P15" s="515"/>
      <c r="Q15" s="515"/>
      <c r="R15" s="479"/>
      <c r="S15" s="260"/>
      <c r="T15" s="260"/>
      <c r="U15" s="260"/>
      <c r="V15" s="260"/>
      <c r="W15" s="260"/>
      <c r="X15" s="260"/>
      <c r="Y15" s="260"/>
      <c r="Z15" s="260"/>
    </row>
    <row r="16" ht="7.5" customHeight="1">
      <c r="A16" s="260"/>
      <c r="B16" s="260"/>
      <c r="C16" s="514"/>
      <c r="D16" s="515"/>
      <c r="E16" s="515"/>
      <c r="F16" s="515"/>
      <c r="G16" s="515"/>
      <c r="H16" s="515"/>
      <c r="I16" s="515"/>
      <c r="J16" s="515"/>
      <c r="K16" s="515"/>
      <c r="L16" s="515"/>
      <c r="M16" s="515"/>
      <c r="N16" s="516"/>
      <c r="O16" s="479"/>
      <c r="P16" s="515"/>
      <c r="Q16" s="515"/>
      <c r="R16" s="479"/>
      <c r="S16" s="260"/>
      <c r="T16" s="260"/>
      <c r="U16" s="260"/>
      <c r="V16" s="260"/>
      <c r="W16" s="260"/>
      <c r="X16" s="260"/>
      <c r="Y16" s="260"/>
      <c r="Z16" s="260"/>
    </row>
    <row r="17" ht="13.5" customHeight="1">
      <c r="A17" s="260"/>
      <c r="B17" s="260"/>
      <c r="C17" s="518" t="s">
        <v>417</v>
      </c>
      <c r="D17" s="522">
        <v>7.0</v>
      </c>
      <c r="E17" s="522">
        <v>7.0</v>
      </c>
      <c r="F17" s="522">
        <v>25.0</v>
      </c>
      <c r="G17" s="522">
        <v>7.0</v>
      </c>
      <c r="H17" s="522">
        <v>6.0</v>
      </c>
      <c r="I17" s="522">
        <v>3.0</v>
      </c>
      <c r="J17" s="522">
        <v>3.0</v>
      </c>
      <c r="K17" s="522">
        <v>39.0</v>
      </c>
      <c r="L17" s="522">
        <v>2.0</v>
      </c>
      <c r="M17" s="522">
        <v>6.0</v>
      </c>
      <c r="N17" s="520"/>
      <c r="O17" s="479"/>
      <c r="P17" s="479"/>
      <c r="Q17" s="521"/>
      <c r="R17" s="260"/>
      <c r="S17" s="260"/>
      <c r="T17" s="260"/>
      <c r="U17" s="260"/>
      <c r="V17" s="260"/>
      <c r="W17" s="260"/>
      <c r="X17" s="260"/>
      <c r="Y17" s="260"/>
      <c r="Z17" s="260"/>
    </row>
    <row r="18" ht="13.5" customHeight="1">
      <c r="A18" s="260"/>
      <c r="B18" s="260"/>
      <c r="C18" s="518" t="s">
        <v>294</v>
      </c>
      <c r="D18" s="522" t="s">
        <v>296</v>
      </c>
      <c r="E18" s="522" t="s">
        <v>485</v>
      </c>
      <c r="F18" s="522" t="s">
        <v>486</v>
      </c>
      <c r="G18" s="522" t="s">
        <v>487</v>
      </c>
      <c r="H18" s="522" t="s">
        <v>488</v>
      </c>
      <c r="I18" s="569">
        <v>6.55325319524048E14</v>
      </c>
      <c r="J18" s="569">
        <v>6.51254097112946E14</v>
      </c>
      <c r="K18" s="569">
        <v>6.55285973868641E14</v>
      </c>
      <c r="L18" s="569">
        <v>6.50999288324878E14</v>
      </c>
      <c r="M18" s="569">
        <v>6.51012032668798E14</v>
      </c>
      <c r="N18" s="520"/>
      <c r="O18" s="479"/>
      <c r="P18" s="479"/>
      <c r="Q18" s="521"/>
      <c r="R18" s="260"/>
      <c r="S18" s="260"/>
      <c r="T18" s="260"/>
      <c r="U18" s="260"/>
      <c r="V18" s="260"/>
      <c r="W18" s="260"/>
      <c r="X18" s="260"/>
      <c r="Y18" s="260"/>
      <c r="Z18" s="260"/>
    </row>
    <row r="19" ht="13.5" customHeight="1">
      <c r="A19" s="260"/>
      <c r="B19" s="260"/>
      <c r="C19" s="518" t="s">
        <v>187</v>
      </c>
      <c r="D19" s="522" t="s">
        <v>298</v>
      </c>
      <c r="E19" s="522" t="s">
        <v>298</v>
      </c>
      <c r="F19" s="522" t="s">
        <v>298</v>
      </c>
      <c r="G19" s="522" t="s">
        <v>298</v>
      </c>
      <c r="H19" s="522" t="s">
        <v>298</v>
      </c>
      <c r="I19" s="522" t="s">
        <v>298</v>
      </c>
      <c r="J19" s="522" t="s">
        <v>298</v>
      </c>
      <c r="K19" s="522" t="s">
        <v>298</v>
      </c>
      <c r="L19" s="522" t="s">
        <v>298</v>
      </c>
      <c r="M19" s="522" t="s">
        <v>298</v>
      </c>
      <c r="N19" s="520"/>
      <c r="O19" s="479"/>
      <c r="P19" s="479"/>
      <c r="Q19" s="521"/>
      <c r="R19" s="260"/>
      <c r="S19" s="260"/>
      <c r="T19" s="260"/>
      <c r="U19" s="260"/>
      <c r="V19" s="260"/>
      <c r="W19" s="260"/>
      <c r="X19" s="260"/>
      <c r="Y19" s="260"/>
      <c r="Z19" s="260"/>
    </row>
    <row r="20" ht="13.5" customHeight="1">
      <c r="A20" s="260"/>
      <c r="B20" s="260"/>
      <c r="C20" s="518" t="s">
        <v>474</v>
      </c>
      <c r="D20" s="522" t="s">
        <v>274</v>
      </c>
      <c r="E20" s="522" t="s">
        <v>273</v>
      </c>
      <c r="F20" s="522" t="s">
        <v>274</v>
      </c>
      <c r="G20" s="522" t="s">
        <v>273</v>
      </c>
      <c r="H20" s="522" t="s">
        <v>489</v>
      </c>
      <c r="I20" s="522" t="s">
        <v>489</v>
      </c>
      <c r="J20" s="522" t="s">
        <v>489</v>
      </c>
      <c r="K20" s="522" t="s">
        <v>490</v>
      </c>
      <c r="L20" s="522" t="s">
        <v>489</v>
      </c>
      <c r="M20" s="522" t="s">
        <v>489</v>
      </c>
      <c r="N20" s="520"/>
      <c r="O20" s="479"/>
      <c r="P20" s="479"/>
      <c r="Q20" s="521"/>
      <c r="R20" s="260"/>
      <c r="S20" s="260"/>
      <c r="T20" s="260"/>
      <c r="U20" s="260"/>
      <c r="V20" s="260"/>
      <c r="W20" s="260"/>
      <c r="X20" s="260"/>
      <c r="Y20" s="260"/>
      <c r="Z20" s="260"/>
    </row>
    <row r="21" ht="13.5" customHeight="1">
      <c r="A21" s="260"/>
      <c r="B21" s="260"/>
      <c r="C21" s="570" t="s">
        <v>243</v>
      </c>
      <c r="D21" s="658" t="s">
        <v>491</v>
      </c>
      <c r="E21" s="571" t="s">
        <v>492</v>
      </c>
      <c r="F21" s="658" t="s">
        <v>493</v>
      </c>
      <c r="G21" s="658" t="s">
        <v>494</v>
      </c>
      <c r="H21" s="526" t="s">
        <v>495</v>
      </c>
      <c r="I21" s="571" t="s">
        <v>496</v>
      </c>
      <c r="J21" s="571" t="s">
        <v>497</v>
      </c>
      <c r="K21" s="571" t="s">
        <v>497</v>
      </c>
      <c r="L21" s="571" t="s">
        <v>498</v>
      </c>
      <c r="M21" s="571" t="s">
        <v>498</v>
      </c>
      <c r="N21" s="520"/>
      <c r="O21" s="479"/>
      <c r="P21" s="479"/>
      <c r="Q21" s="521"/>
      <c r="R21" s="260"/>
      <c r="S21" s="260"/>
      <c r="T21" s="260"/>
      <c r="U21" s="260"/>
      <c r="V21" s="260"/>
      <c r="W21" s="260"/>
      <c r="X21" s="260"/>
      <c r="Y21" s="260"/>
      <c r="Z21" s="260"/>
    </row>
    <row r="22" ht="13.5" customHeight="1">
      <c r="A22" s="260"/>
      <c r="B22" s="260"/>
      <c r="C22" s="572" t="s">
        <v>304</v>
      </c>
      <c r="D22" s="659"/>
      <c r="E22" s="526" t="s">
        <v>499</v>
      </c>
      <c r="F22" s="633"/>
      <c r="G22" s="526" t="s">
        <v>500</v>
      </c>
      <c r="H22" s="526" t="s">
        <v>501</v>
      </c>
      <c r="I22" s="633"/>
      <c r="J22" s="634" t="s">
        <v>502</v>
      </c>
      <c r="K22" s="634" t="s">
        <v>503</v>
      </c>
      <c r="L22" s="634" t="s">
        <v>502</v>
      </c>
      <c r="M22" s="634" t="s">
        <v>502</v>
      </c>
      <c r="N22" s="520"/>
      <c r="O22" s="479"/>
      <c r="P22" s="479"/>
      <c r="Q22" s="521"/>
      <c r="R22" s="260"/>
      <c r="S22" s="260"/>
      <c r="T22" s="260"/>
      <c r="U22" s="260"/>
      <c r="V22" s="260"/>
      <c r="W22" s="260"/>
      <c r="X22" s="260"/>
      <c r="Y22" s="260"/>
      <c r="Z22" s="260"/>
    </row>
    <row r="23" ht="13.5" customHeight="1">
      <c r="A23" s="260"/>
      <c r="B23" s="260"/>
      <c r="C23" s="514"/>
      <c r="D23" s="479"/>
      <c r="E23" s="479"/>
      <c r="F23" s="479"/>
      <c r="G23" s="479"/>
      <c r="H23" s="479"/>
      <c r="I23" s="479"/>
      <c r="J23" s="479"/>
      <c r="K23" s="479"/>
      <c r="L23" s="479"/>
      <c r="M23" s="479"/>
      <c r="N23" s="520"/>
      <c r="O23" s="479"/>
      <c r="P23" s="479"/>
      <c r="Q23" s="521"/>
      <c r="R23" s="260"/>
      <c r="S23" s="260"/>
      <c r="T23" s="260"/>
      <c r="U23" s="260"/>
      <c r="V23" s="260"/>
      <c r="W23" s="260"/>
      <c r="X23" s="260"/>
      <c r="Y23" s="260"/>
      <c r="Z23" s="260"/>
    </row>
    <row r="24" ht="13.5" customHeight="1">
      <c r="A24" s="532"/>
      <c r="B24" s="532"/>
      <c r="C24" s="548" t="s">
        <v>422</v>
      </c>
      <c r="D24" s="532"/>
      <c r="E24" s="532"/>
      <c r="F24" s="532"/>
      <c r="G24" s="532"/>
      <c r="H24" s="532"/>
      <c r="I24" s="532"/>
      <c r="J24" s="532"/>
      <c r="K24" s="532"/>
      <c r="L24" s="532"/>
      <c r="M24" s="532"/>
      <c r="N24" s="534" t="s">
        <v>163</v>
      </c>
      <c r="O24" s="535"/>
      <c r="P24" s="535"/>
      <c r="Q24" s="535"/>
      <c r="R24" s="536"/>
      <c r="S24" s="536"/>
      <c r="T24" s="532"/>
      <c r="U24" s="532"/>
      <c r="V24" s="532"/>
      <c r="W24" s="532"/>
      <c r="X24" s="532"/>
      <c r="Y24" s="532"/>
      <c r="Z24" s="532"/>
    </row>
    <row r="25" ht="13.5" customHeight="1">
      <c r="A25" s="260"/>
      <c r="B25" s="260"/>
      <c r="C25" s="537" t="s">
        <v>192</v>
      </c>
      <c r="D25" s="538">
        <v>1.0</v>
      </c>
      <c r="E25" s="538">
        <v>1.0</v>
      </c>
      <c r="F25" s="538">
        <v>1.0</v>
      </c>
      <c r="G25" s="538">
        <v>1.0</v>
      </c>
      <c r="H25" s="538">
        <v>1.0</v>
      </c>
      <c r="I25" s="538">
        <v>1.0</v>
      </c>
      <c r="J25" s="538">
        <v>1.0</v>
      </c>
      <c r="K25" s="538">
        <v>1.0</v>
      </c>
      <c r="L25" s="538">
        <v>1.0</v>
      </c>
      <c r="M25" s="538">
        <v>1.0</v>
      </c>
      <c r="N25" s="538">
        <f t="shared" ref="N25:N28" si="8">AVERAGE(D25:M25)</f>
        <v>1</v>
      </c>
      <c r="O25" s="539"/>
      <c r="P25" s="540"/>
      <c r="T25" s="260"/>
      <c r="U25" s="260"/>
      <c r="V25" s="260"/>
      <c r="W25" s="260"/>
      <c r="X25" s="260"/>
      <c r="Y25" s="260"/>
      <c r="Z25" s="260"/>
    </row>
    <row r="26" ht="13.5" customHeight="1">
      <c r="A26" s="260"/>
      <c r="B26" s="260"/>
      <c r="C26" s="537" t="s">
        <v>193</v>
      </c>
      <c r="D26" s="500">
        <f t="shared" ref="D26:M26" si="7">D13/D17</f>
        <v>19.58428571</v>
      </c>
      <c r="E26" s="500">
        <f t="shared" si="7"/>
        <v>20.17142857</v>
      </c>
      <c r="F26" s="500">
        <f t="shared" si="7"/>
        <v>4.4352</v>
      </c>
      <c r="G26" s="500">
        <f t="shared" si="7"/>
        <v>47.92571429</v>
      </c>
      <c r="H26" s="500">
        <f t="shared" si="7"/>
        <v>22.59166667</v>
      </c>
      <c r="I26" s="500">
        <f t="shared" si="7"/>
        <v>24.31</v>
      </c>
      <c r="J26" s="500">
        <f t="shared" si="7"/>
        <v>16.62</v>
      </c>
      <c r="K26" s="500">
        <f t="shared" si="7"/>
        <v>2.309230769</v>
      </c>
      <c r="L26" s="500">
        <f t="shared" si="7"/>
        <v>43.945</v>
      </c>
      <c r="M26" s="500">
        <f t="shared" si="7"/>
        <v>14.12666667</v>
      </c>
      <c r="N26" s="500">
        <f t="shared" si="8"/>
        <v>21.60191927</v>
      </c>
      <c r="O26" s="539"/>
      <c r="P26" s="542"/>
      <c r="Q26" s="540"/>
      <c r="R26" s="540"/>
      <c r="S26" s="540"/>
      <c r="T26" s="260"/>
      <c r="U26" s="260"/>
      <c r="V26" s="260"/>
      <c r="W26" s="260"/>
      <c r="X26" s="260"/>
      <c r="Y26" s="260"/>
      <c r="Z26" s="260"/>
    </row>
    <row r="27" ht="13.5" customHeight="1">
      <c r="A27" s="260"/>
      <c r="B27" s="260"/>
      <c r="C27" s="537" t="s">
        <v>194</v>
      </c>
      <c r="D27" s="500">
        <f t="shared" ref="D27:M27" si="9">D26*D25</f>
        <v>19.58428571</v>
      </c>
      <c r="E27" s="500">
        <f t="shared" si="9"/>
        <v>20.17142857</v>
      </c>
      <c r="F27" s="500">
        <f t="shared" si="9"/>
        <v>4.4352</v>
      </c>
      <c r="G27" s="500">
        <f t="shared" si="9"/>
        <v>47.92571429</v>
      </c>
      <c r="H27" s="500">
        <f t="shared" si="9"/>
        <v>22.59166667</v>
      </c>
      <c r="I27" s="500">
        <f t="shared" si="9"/>
        <v>24.31</v>
      </c>
      <c r="J27" s="500">
        <f t="shared" si="9"/>
        <v>16.62</v>
      </c>
      <c r="K27" s="500">
        <f t="shared" si="9"/>
        <v>2.309230769</v>
      </c>
      <c r="L27" s="500">
        <f t="shared" si="9"/>
        <v>43.945</v>
      </c>
      <c r="M27" s="500">
        <f t="shared" si="9"/>
        <v>14.12666667</v>
      </c>
      <c r="N27" s="500">
        <f t="shared" si="8"/>
        <v>21.60191927</v>
      </c>
      <c r="O27" s="539"/>
      <c r="P27" s="542"/>
      <c r="Q27" s="540"/>
      <c r="R27" s="540"/>
      <c r="S27" s="540"/>
      <c r="T27" s="260"/>
      <c r="U27" s="260"/>
      <c r="V27" s="260"/>
      <c r="W27" s="260"/>
      <c r="X27" s="260"/>
      <c r="Y27" s="260"/>
      <c r="Z27" s="260"/>
    </row>
    <row r="28" ht="13.5" customHeight="1">
      <c r="A28" s="260"/>
      <c r="B28" s="260"/>
      <c r="C28" s="537" t="s">
        <v>195</v>
      </c>
      <c r="D28" s="500">
        <f t="shared" ref="D28:M28" si="10">D27*(1+0.05)</f>
        <v>20.5635</v>
      </c>
      <c r="E28" s="500">
        <f t="shared" si="10"/>
        <v>21.18</v>
      </c>
      <c r="F28" s="500">
        <f t="shared" si="10"/>
        <v>4.65696</v>
      </c>
      <c r="G28" s="500">
        <f t="shared" si="10"/>
        <v>50.322</v>
      </c>
      <c r="H28" s="500">
        <f t="shared" si="10"/>
        <v>23.72125</v>
      </c>
      <c r="I28" s="500">
        <f t="shared" si="10"/>
        <v>25.5255</v>
      </c>
      <c r="J28" s="500">
        <f t="shared" si="10"/>
        <v>17.451</v>
      </c>
      <c r="K28" s="500">
        <f t="shared" si="10"/>
        <v>2.424692308</v>
      </c>
      <c r="L28" s="500">
        <f t="shared" si="10"/>
        <v>46.14225</v>
      </c>
      <c r="M28" s="500">
        <f t="shared" si="10"/>
        <v>14.833</v>
      </c>
      <c r="N28" s="500">
        <f t="shared" si="8"/>
        <v>22.68201523</v>
      </c>
      <c r="O28" s="543"/>
      <c r="P28" s="543"/>
      <c r="Q28" s="543"/>
      <c r="R28" s="543"/>
      <c r="S28" s="539"/>
      <c r="T28" s="260"/>
      <c r="U28" s="260"/>
      <c r="V28" s="260"/>
      <c r="W28" s="260"/>
      <c r="X28" s="260"/>
      <c r="Y28" s="260"/>
      <c r="Z28" s="260"/>
    </row>
    <row r="29" ht="13.5" customHeight="1">
      <c r="A29" s="260"/>
      <c r="B29" s="260"/>
      <c r="C29" s="544" t="s">
        <v>196</v>
      </c>
      <c r="D29" s="618">
        <f t="shared" ref="D29:M29" si="11">(D28/3600)*100</f>
        <v>0.5712083333</v>
      </c>
      <c r="E29" s="618">
        <f t="shared" si="11"/>
        <v>0.5883333333</v>
      </c>
      <c r="F29" s="618">
        <f t="shared" si="11"/>
        <v>0.12936</v>
      </c>
      <c r="G29" s="618">
        <f t="shared" si="11"/>
        <v>1.397833333</v>
      </c>
      <c r="H29" s="618">
        <f t="shared" si="11"/>
        <v>0.6589236111</v>
      </c>
      <c r="I29" s="618">
        <f t="shared" si="11"/>
        <v>0.7090416667</v>
      </c>
      <c r="J29" s="618">
        <f t="shared" si="11"/>
        <v>0.48475</v>
      </c>
      <c r="K29" s="618">
        <f t="shared" si="11"/>
        <v>0.0673525641</v>
      </c>
      <c r="L29" s="618">
        <f t="shared" si="11"/>
        <v>1.281729167</v>
      </c>
      <c r="M29" s="618">
        <f t="shared" si="11"/>
        <v>0.4120277778</v>
      </c>
      <c r="N29" s="545">
        <f>3600/N28</f>
        <v>158.716056</v>
      </c>
      <c r="O29" s="547"/>
      <c r="Q29" s="547"/>
      <c r="R29" s="547"/>
      <c r="S29" s="260"/>
      <c r="T29" s="260"/>
      <c r="U29" s="260"/>
      <c r="V29" s="260"/>
      <c r="W29" s="260"/>
      <c r="X29" s="260"/>
      <c r="Y29" s="260"/>
      <c r="Z29" s="260"/>
    </row>
    <row r="30" ht="13.5" customHeight="1">
      <c r="A30" s="260"/>
      <c r="B30" s="260"/>
      <c r="C30" s="260"/>
      <c r="D30" s="260"/>
      <c r="E30" s="260"/>
      <c r="F30" s="260"/>
      <c r="G30" s="260"/>
      <c r="H30" s="260"/>
      <c r="I30" s="260"/>
      <c r="J30" s="260"/>
      <c r="K30" s="260"/>
      <c r="L30" s="260"/>
      <c r="M30" s="260"/>
      <c r="N30" s="260"/>
      <c r="O30" s="547"/>
      <c r="Q30" s="547"/>
      <c r="R30" s="547"/>
      <c r="S30" s="260"/>
      <c r="T30" s="260"/>
      <c r="U30" s="260"/>
      <c r="V30" s="260"/>
      <c r="W30" s="260"/>
      <c r="X30" s="260"/>
      <c r="Y30" s="260"/>
      <c r="Z30" s="260"/>
    </row>
    <row r="31" ht="13.5" customHeight="1">
      <c r="A31" s="260"/>
      <c r="B31" s="260"/>
      <c r="C31" s="619" t="s">
        <v>357</v>
      </c>
      <c r="D31" s="521">
        <v>0.05</v>
      </c>
      <c r="E31" s="260"/>
      <c r="F31" s="260"/>
      <c r="G31" s="260"/>
      <c r="H31" s="260"/>
      <c r="I31" s="260"/>
      <c r="J31" s="260"/>
      <c r="K31" s="260"/>
      <c r="L31" s="260"/>
      <c r="M31" s="260"/>
      <c r="N31" s="260"/>
      <c r="O31" s="617"/>
      <c r="P31" s="617"/>
      <c r="Q31" s="617"/>
      <c r="R31" s="617"/>
      <c r="S31" s="260"/>
      <c r="T31" s="260"/>
      <c r="U31" s="260"/>
      <c r="V31" s="260"/>
      <c r="W31" s="260"/>
      <c r="X31" s="260"/>
      <c r="Y31" s="260"/>
      <c r="Z31" s="260"/>
    </row>
    <row r="32" ht="13.5" customHeight="1">
      <c r="A32" s="260"/>
      <c r="B32" s="260"/>
      <c r="C32" s="619" t="s">
        <v>358</v>
      </c>
      <c r="D32" s="338" t="s">
        <v>359</v>
      </c>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338"/>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635"/>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636"/>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5:S25"/>
    <mergeCell ref="O29:P29"/>
    <mergeCell ref="O30:P30"/>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9.57"/>
    <col customWidth="1" min="3" max="3" width="53.14"/>
    <col customWidth="1" min="4" max="4" width="14.86"/>
    <col customWidth="1" min="5" max="5" width="13.57"/>
    <col customWidth="1" min="6" max="6" width="14.86"/>
    <col customWidth="1" min="7" max="7" width="14.71"/>
    <col customWidth="1" min="8" max="8" width="14.57"/>
    <col customWidth="1" min="9" max="9" width="16.14"/>
    <col customWidth="1" min="10" max="10" width="15.0"/>
    <col customWidth="1" min="11" max="12" width="16.0"/>
    <col customWidth="1" min="13" max="13" width="18.43"/>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469</v>
      </c>
      <c r="C4" s="468"/>
      <c r="D4" s="469"/>
      <c r="E4" s="470" t="s">
        <v>158</v>
      </c>
      <c r="F4" s="468"/>
      <c r="G4" s="469"/>
      <c r="H4" s="555" t="s">
        <v>470</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49" t="s">
        <v>163</v>
      </c>
      <c r="Q7" s="650" t="s">
        <v>164</v>
      </c>
      <c r="R7" s="651"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652"/>
      <c r="Q8" s="117"/>
      <c r="R8" s="653"/>
      <c r="S8" s="260"/>
      <c r="T8" s="260"/>
      <c r="U8" s="260"/>
      <c r="V8" s="260"/>
      <c r="W8" s="260"/>
      <c r="X8" s="260"/>
      <c r="Y8" s="260"/>
      <c r="Z8" s="260"/>
    </row>
    <row r="9" ht="13.5" customHeight="1">
      <c r="A9" s="497"/>
      <c r="B9" s="498">
        <v>1.0</v>
      </c>
      <c r="C9" s="499" t="s">
        <v>481</v>
      </c>
      <c r="D9" s="500">
        <v>9.97</v>
      </c>
      <c r="E9" s="500">
        <v>10.17</v>
      </c>
      <c r="F9" s="500">
        <v>70.0</v>
      </c>
      <c r="G9" s="500">
        <v>4.99</v>
      </c>
      <c r="H9" s="500">
        <v>5.76</v>
      </c>
      <c r="I9" s="500">
        <v>51.61</v>
      </c>
      <c r="J9" s="500">
        <v>5.61</v>
      </c>
      <c r="K9" s="500">
        <v>17.82</v>
      </c>
      <c r="L9" s="500">
        <v>26.34</v>
      </c>
      <c r="M9" s="500">
        <v>6.6</v>
      </c>
      <c r="N9" s="501">
        <f t="shared" ref="N9:N12" si="1">SUM(D9:M9)</f>
        <v>208.87</v>
      </c>
      <c r="O9" s="485"/>
      <c r="P9" s="654">
        <f t="shared" ref="P9:P11" si="2">AVERAGE(D9:M9)</f>
        <v>20.887</v>
      </c>
      <c r="Q9" s="630">
        <f t="shared" ref="Q9:Q11" si="3">MAX(D9:M9)</f>
        <v>70</v>
      </c>
      <c r="R9" s="655">
        <f t="shared" ref="R9:R11" si="4">P9/$P$12</f>
        <v>0.08307249305</v>
      </c>
      <c r="S9" s="497"/>
      <c r="T9" s="497"/>
      <c r="U9" s="497"/>
      <c r="V9" s="497"/>
      <c r="W9" s="497"/>
      <c r="X9" s="497"/>
      <c r="Y9" s="497"/>
      <c r="Z9" s="497"/>
    </row>
    <row r="10" ht="13.5" customHeight="1">
      <c r="A10" s="485"/>
      <c r="B10" s="498">
        <v>2.0</v>
      </c>
      <c r="C10" s="499" t="s">
        <v>483</v>
      </c>
      <c r="D10" s="500">
        <v>127.0</v>
      </c>
      <c r="E10" s="500">
        <v>99.19</v>
      </c>
      <c r="F10" s="500">
        <v>462.4</v>
      </c>
      <c r="G10" s="500">
        <v>95.32</v>
      </c>
      <c r="H10" s="500">
        <v>118.34</v>
      </c>
      <c r="I10" s="500">
        <v>161.18</v>
      </c>
      <c r="J10" s="500">
        <v>84.43</v>
      </c>
      <c r="K10" s="500">
        <v>160.21</v>
      </c>
      <c r="L10" s="500">
        <v>473.78</v>
      </c>
      <c r="M10" s="500">
        <v>438.51</v>
      </c>
      <c r="N10" s="501">
        <f t="shared" si="1"/>
        <v>2220.36</v>
      </c>
      <c r="O10" s="485"/>
      <c r="P10" s="654">
        <f t="shared" si="2"/>
        <v>222.036</v>
      </c>
      <c r="Q10" s="630">
        <f t="shared" si="3"/>
        <v>473.78</v>
      </c>
      <c r="R10" s="655">
        <f t="shared" si="4"/>
        <v>0.8830891974</v>
      </c>
      <c r="S10" s="485"/>
      <c r="T10" s="485"/>
      <c r="U10" s="485"/>
      <c r="V10" s="485"/>
      <c r="W10" s="485"/>
      <c r="X10" s="485"/>
      <c r="Y10" s="485"/>
      <c r="Z10" s="485"/>
    </row>
    <row r="11" ht="13.5" customHeight="1">
      <c r="A11" s="485"/>
      <c r="B11" s="498">
        <v>3.0</v>
      </c>
      <c r="C11" s="499" t="s">
        <v>484</v>
      </c>
      <c r="D11" s="500">
        <v>5.57</v>
      </c>
      <c r="E11" s="500">
        <v>11.66</v>
      </c>
      <c r="F11" s="500">
        <v>9.62</v>
      </c>
      <c r="G11" s="500">
        <v>2.47</v>
      </c>
      <c r="H11" s="500">
        <v>2.81</v>
      </c>
      <c r="I11" s="500">
        <v>7.49</v>
      </c>
      <c r="J11" s="500">
        <v>3.88</v>
      </c>
      <c r="K11" s="500">
        <v>7.56</v>
      </c>
      <c r="L11" s="500">
        <v>17.7</v>
      </c>
      <c r="M11" s="500">
        <v>16.32</v>
      </c>
      <c r="N11" s="501">
        <f t="shared" si="1"/>
        <v>85.08</v>
      </c>
      <c r="O11" s="656"/>
      <c r="P11" s="654">
        <f t="shared" si="2"/>
        <v>8.508</v>
      </c>
      <c r="Q11" s="630">
        <f t="shared" si="3"/>
        <v>17.7</v>
      </c>
      <c r="R11" s="655">
        <f t="shared" si="4"/>
        <v>0.03383830952</v>
      </c>
      <c r="S11" s="485"/>
      <c r="T11" s="485"/>
      <c r="U11" s="485"/>
      <c r="V11" s="485"/>
      <c r="W11" s="485"/>
      <c r="X11" s="485"/>
      <c r="Y11" s="485"/>
      <c r="Z11" s="485"/>
    </row>
    <row r="12" ht="13.5" customHeight="1">
      <c r="A12" s="260"/>
      <c r="B12" s="507"/>
      <c r="C12" s="508" t="s">
        <v>180</v>
      </c>
      <c r="D12" s="613">
        <f t="shared" ref="D12:M12" si="5">SUM(D9:D11)</f>
        <v>142.54</v>
      </c>
      <c r="E12" s="613">
        <f t="shared" si="5"/>
        <v>121.02</v>
      </c>
      <c r="F12" s="613">
        <f t="shared" si="5"/>
        <v>542.02</v>
      </c>
      <c r="G12" s="613">
        <f t="shared" si="5"/>
        <v>102.78</v>
      </c>
      <c r="H12" s="613">
        <f t="shared" si="5"/>
        <v>126.91</v>
      </c>
      <c r="I12" s="613">
        <f t="shared" si="5"/>
        <v>220.28</v>
      </c>
      <c r="J12" s="613">
        <f t="shared" si="5"/>
        <v>93.92</v>
      </c>
      <c r="K12" s="613">
        <f t="shared" si="5"/>
        <v>185.59</v>
      </c>
      <c r="L12" s="613">
        <f t="shared" si="5"/>
        <v>517.82</v>
      </c>
      <c r="M12" s="613">
        <f t="shared" si="5"/>
        <v>461.43</v>
      </c>
      <c r="N12" s="510">
        <f t="shared" si="1"/>
        <v>2514.31</v>
      </c>
      <c r="O12" s="656" t="s">
        <v>10</v>
      </c>
      <c r="P12" s="657">
        <f t="shared" ref="P12:R12" si="6">SUM(P9:P11)</f>
        <v>251.431</v>
      </c>
      <c r="Q12" s="657">
        <f t="shared" si="6"/>
        <v>561.48</v>
      </c>
      <c r="R12" s="657">
        <f t="shared" si="6"/>
        <v>1</v>
      </c>
      <c r="S12" s="260"/>
      <c r="T12" s="260"/>
      <c r="U12" s="260"/>
      <c r="V12" s="260"/>
      <c r="W12" s="260"/>
      <c r="X12" s="260"/>
      <c r="Y12" s="260"/>
      <c r="Z12" s="260"/>
    </row>
    <row r="13" ht="13.5" customHeight="1">
      <c r="A13" s="260"/>
      <c r="B13" s="260"/>
      <c r="C13" s="514"/>
      <c r="D13" s="515"/>
      <c r="E13" s="515"/>
      <c r="F13" s="515"/>
      <c r="G13" s="515"/>
      <c r="H13" s="515"/>
      <c r="I13" s="515"/>
      <c r="J13" s="515"/>
      <c r="K13" s="515"/>
      <c r="L13" s="515"/>
      <c r="M13" s="515"/>
      <c r="N13" s="516">
        <f>N12/60</f>
        <v>41.90516667</v>
      </c>
      <c r="O13" s="479"/>
      <c r="P13" s="515"/>
      <c r="Q13" s="515"/>
      <c r="R13" s="479"/>
      <c r="S13" s="260"/>
      <c r="T13" s="260"/>
      <c r="U13" s="260"/>
      <c r="V13" s="260"/>
      <c r="W13" s="260"/>
      <c r="X13" s="260"/>
      <c r="Y13" s="260"/>
      <c r="Z13" s="260"/>
    </row>
    <row r="14" ht="13.5" customHeight="1">
      <c r="A14" s="260"/>
      <c r="B14" s="260"/>
      <c r="C14" s="514"/>
      <c r="D14" s="515"/>
      <c r="E14" s="515"/>
      <c r="F14" s="515"/>
      <c r="G14" s="515" t="s">
        <v>137</v>
      </c>
      <c r="H14" s="515"/>
      <c r="I14" s="515"/>
      <c r="J14" s="515"/>
      <c r="K14" s="515"/>
      <c r="L14" s="515"/>
      <c r="M14" s="515"/>
      <c r="N14" s="517" t="s">
        <v>182</v>
      </c>
      <c r="O14" s="479"/>
      <c r="P14" s="515"/>
      <c r="Q14" s="515"/>
      <c r="R14" s="479"/>
      <c r="S14" s="260"/>
      <c r="T14" s="260"/>
      <c r="U14" s="260"/>
      <c r="V14" s="260"/>
      <c r="W14" s="260"/>
      <c r="X14" s="260"/>
      <c r="Y14" s="260"/>
      <c r="Z14" s="260"/>
    </row>
    <row r="15" ht="13.5" customHeight="1">
      <c r="A15" s="260"/>
      <c r="B15" s="260"/>
      <c r="C15" s="518" t="s">
        <v>417</v>
      </c>
      <c r="D15" s="522">
        <v>1.0</v>
      </c>
      <c r="E15" s="522">
        <v>1.0</v>
      </c>
      <c r="F15" s="522">
        <v>2.0</v>
      </c>
      <c r="G15" s="522">
        <v>2.0</v>
      </c>
      <c r="H15" s="522">
        <v>4.0</v>
      </c>
      <c r="I15" s="522">
        <v>1.0</v>
      </c>
      <c r="J15" s="522">
        <v>1.0</v>
      </c>
      <c r="K15" s="522">
        <v>10.0</v>
      </c>
      <c r="L15" s="522">
        <v>1.0</v>
      </c>
      <c r="M15" s="522">
        <v>2.0</v>
      </c>
      <c r="N15" s="516"/>
      <c r="O15" s="479"/>
      <c r="P15" s="515"/>
      <c r="Q15" s="515"/>
      <c r="R15" s="479"/>
      <c r="S15" s="260"/>
      <c r="T15" s="260"/>
      <c r="U15" s="260"/>
      <c r="V15" s="260"/>
      <c r="W15" s="260"/>
      <c r="X15" s="260"/>
      <c r="Y15" s="260"/>
      <c r="Z15" s="260"/>
    </row>
    <row r="16" ht="13.5" customHeight="1">
      <c r="A16" s="260"/>
      <c r="B16" s="260"/>
      <c r="C16" s="518" t="s">
        <v>294</v>
      </c>
      <c r="D16" s="569">
        <v>6.52172591274821E14</v>
      </c>
      <c r="E16" s="569">
        <v>6.4920026182542E13</v>
      </c>
      <c r="F16" s="522" t="s">
        <v>504</v>
      </c>
      <c r="G16" s="569">
        <v>6.49443455330491E14</v>
      </c>
      <c r="H16" s="569">
        <v>6.49523800629723E14</v>
      </c>
      <c r="I16" s="660" t="s">
        <v>505</v>
      </c>
      <c r="J16" s="522" t="s">
        <v>506</v>
      </c>
      <c r="K16" s="522" t="s">
        <v>507</v>
      </c>
      <c r="L16" s="522" t="s">
        <v>508</v>
      </c>
      <c r="M16" s="522" t="s">
        <v>509</v>
      </c>
      <c r="N16" s="520"/>
      <c r="O16" s="479"/>
      <c r="P16" s="479"/>
      <c r="Q16" s="521"/>
      <c r="R16" s="260"/>
      <c r="S16" s="260"/>
      <c r="T16" s="260"/>
      <c r="U16" s="260"/>
      <c r="V16" s="260"/>
      <c r="W16" s="260"/>
      <c r="X16" s="260"/>
      <c r="Y16" s="260"/>
      <c r="Z16" s="260"/>
    </row>
    <row r="17" ht="13.5" customHeight="1">
      <c r="A17" s="260"/>
      <c r="B17" s="260"/>
      <c r="C17" s="518" t="s">
        <v>187</v>
      </c>
      <c r="D17" s="522" t="s">
        <v>299</v>
      </c>
      <c r="E17" s="522" t="s">
        <v>299</v>
      </c>
      <c r="F17" s="522" t="s">
        <v>299</v>
      </c>
      <c r="G17" s="522" t="s">
        <v>299</v>
      </c>
      <c r="H17" s="522" t="s">
        <v>299</v>
      </c>
      <c r="I17" s="522" t="s">
        <v>299</v>
      </c>
      <c r="J17" s="522" t="s">
        <v>299</v>
      </c>
      <c r="K17" s="522" t="s">
        <v>299</v>
      </c>
      <c r="L17" s="522" t="s">
        <v>299</v>
      </c>
      <c r="M17" s="522" t="s">
        <v>299</v>
      </c>
      <c r="N17" s="520"/>
      <c r="O17" s="479"/>
      <c r="P17" s="479"/>
      <c r="Q17" s="521"/>
      <c r="R17" s="260"/>
      <c r="S17" s="260"/>
      <c r="T17" s="260"/>
      <c r="U17" s="260"/>
      <c r="V17" s="260"/>
      <c r="W17" s="260"/>
      <c r="X17" s="260"/>
      <c r="Y17" s="260"/>
      <c r="Z17" s="260"/>
    </row>
    <row r="18" ht="13.5" customHeight="1">
      <c r="A18" s="260"/>
      <c r="B18" s="260"/>
      <c r="C18" s="518" t="s">
        <v>474</v>
      </c>
      <c r="D18" s="522" t="s">
        <v>274</v>
      </c>
      <c r="E18" s="522" t="s">
        <v>274</v>
      </c>
      <c r="F18" s="522" t="s">
        <v>439</v>
      </c>
      <c r="G18" s="522" t="s">
        <v>274</v>
      </c>
      <c r="H18" s="522" t="s">
        <v>273</v>
      </c>
      <c r="I18" s="522" t="s">
        <v>439</v>
      </c>
      <c r="J18" s="522" t="s">
        <v>274</v>
      </c>
      <c r="K18" s="522" t="s">
        <v>510</v>
      </c>
      <c r="L18" s="522" t="s">
        <v>511</v>
      </c>
      <c r="M18" s="522" t="s">
        <v>512</v>
      </c>
      <c r="N18" s="520"/>
      <c r="O18" s="479"/>
      <c r="P18" s="479"/>
      <c r="Q18" s="521"/>
      <c r="R18" s="260"/>
      <c r="S18" s="260"/>
      <c r="T18" s="260"/>
      <c r="U18" s="260"/>
      <c r="V18" s="260"/>
      <c r="W18" s="260"/>
      <c r="X18" s="260"/>
      <c r="Y18" s="260"/>
      <c r="Z18" s="260"/>
    </row>
    <row r="19" ht="13.5" customHeight="1">
      <c r="A19" s="260"/>
      <c r="B19" s="260"/>
      <c r="C19" s="570" t="s">
        <v>243</v>
      </c>
      <c r="D19" s="522" t="s">
        <v>498</v>
      </c>
      <c r="E19" s="522" t="s">
        <v>513</v>
      </c>
      <c r="F19" s="522" t="s">
        <v>402</v>
      </c>
      <c r="G19" s="522" t="s">
        <v>402</v>
      </c>
      <c r="H19" s="522" t="s">
        <v>402</v>
      </c>
      <c r="I19" s="522" t="s">
        <v>498</v>
      </c>
      <c r="J19" s="522" t="s">
        <v>498</v>
      </c>
      <c r="K19" s="522" t="s">
        <v>498</v>
      </c>
      <c r="L19" s="522" t="s">
        <v>498</v>
      </c>
      <c r="M19" s="522" t="s">
        <v>498</v>
      </c>
      <c r="N19" s="520"/>
      <c r="O19" s="479"/>
      <c r="P19" s="479"/>
      <c r="Q19" s="521"/>
      <c r="R19" s="260"/>
      <c r="S19" s="260"/>
      <c r="T19" s="260"/>
      <c r="U19" s="260"/>
      <c r="V19" s="260"/>
      <c r="W19" s="260"/>
      <c r="X19" s="260"/>
      <c r="Y19" s="260"/>
      <c r="Z19" s="260"/>
    </row>
    <row r="20" ht="13.5" customHeight="1">
      <c r="A20" s="260"/>
      <c r="B20" s="260"/>
      <c r="C20" s="572" t="s">
        <v>304</v>
      </c>
      <c r="D20" s="526" t="s">
        <v>514</v>
      </c>
      <c r="E20" s="526" t="s">
        <v>514</v>
      </c>
      <c r="F20" s="526" t="s">
        <v>515</v>
      </c>
      <c r="G20" s="522" t="s">
        <v>516</v>
      </c>
      <c r="H20" s="526" t="s">
        <v>517</v>
      </c>
      <c r="I20" s="634" t="s">
        <v>518</v>
      </c>
      <c r="J20" s="633"/>
      <c r="K20" s="634" t="s">
        <v>519</v>
      </c>
      <c r="L20" s="634" t="s">
        <v>520</v>
      </c>
      <c r="M20" s="634" t="s">
        <v>521</v>
      </c>
      <c r="N20" s="520"/>
      <c r="O20" s="479"/>
      <c r="P20" s="479"/>
      <c r="Q20" s="521"/>
      <c r="R20" s="260"/>
      <c r="S20" s="260"/>
      <c r="T20" s="260"/>
      <c r="U20" s="260"/>
      <c r="V20" s="260"/>
      <c r="W20" s="260"/>
      <c r="X20" s="260"/>
      <c r="Y20" s="260"/>
      <c r="Z20" s="260"/>
    </row>
    <row r="21" ht="13.5" customHeight="1">
      <c r="A21" s="260"/>
      <c r="B21" s="260"/>
      <c r="C21" s="260"/>
      <c r="D21" s="260"/>
      <c r="E21" s="260"/>
      <c r="F21" s="260"/>
      <c r="G21" s="260"/>
      <c r="H21" s="260"/>
      <c r="I21" s="260"/>
      <c r="J21" s="260"/>
      <c r="K21" s="260"/>
      <c r="L21" s="260"/>
      <c r="M21" s="260"/>
      <c r="N21" s="520"/>
      <c r="O21" s="479"/>
      <c r="P21" s="479"/>
      <c r="Q21" s="521"/>
      <c r="R21" s="260"/>
      <c r="S21" s="260"/>
      <c r="T21" s="260"/>
      <c r="U21" s="260"/>
      <c r="V21" s="260"/>
      <c r="W21" s="260"/>
      <c r="X21" s="260"/>
      <c r="Y21" s="260"/>
      <c r="Z21" s="260"/>
    </row>
    <row r="22" ht="13.5" customHeight="1">
      <c r="A22" s="260"/>
      <c r="B22" s="260"/>
      <c r="C22" s="514"/>
      <c r="D22" s="479"/>
      <c r="E22" s="479"/>
      <c r="F22" s="479"/>
      <c r="G22" s="479"/>
      <c r="H22" s="479"/>
      <c r="I22" s="479"/>
      <c r="J22" s="479"/>
      <c r="K22" s="479"/>
      <c r="L22" s="479"/>
      <c r="M22" s="479"/>
      <c r="N22" s="520"/>
      <c r="O22" s="479"/>
      <c r="P22" s="479"/>
      <c r="Q22" s="521"/>
      <c r="R22" s="260"/>
      <c r="S22" s="260"/>
      <c r="T22" s="260"/>
      <c r="U22" s="260"/>
      <c r="V22" s="260"/>
      <c r="W22" s="260"/>
      <c r="X22" s="260"/>
      <c r="Y22" s="260"/>
      <c r="Z22" s="260"/>
    </row>
    <row r="23" ht="13.5" customHeight="1">
      <c r="A23" s="532"/>
      <c r="B23" s="532"/>
      <c r="C23" s="548" t="s">
        <v>422</v>
      </c>
      <c r="D23" s="532"/>
      <c r="E23" s="532"/>
      <c r="F23" s="532"/>
      <c r="G23" s="532"/>
      <c r="H23" s="532"/>
      <c r="I23" s="532"/>
      <c r="J23" s="532"/>
      <c r="K23" s="532"/>
      <c r="L23" s="532"/>
      <c r="M23" s="532"/>
      <c r="N23" s="534" t="s">
        <v>163</v>
      </c>
      <c r="O23" s="535"/>
      <c r="P23" s="535"/>
      <c r="Q23" s="535"/>
      <c r="R23" s="536"/>
      <c r="S23" s="536"/>
      <c r="T23" s="532"/>
      <c r="U23" s="532"/>
      <c r="V23" s="532"/>
      <c r="W23" s="532"/>
      <c r="X23" s="532"/>
      <c r="Y23" s="532"/>
      <c r="Z23" s="532"/>
    </row>
    <row r="24" ht="13.5" customHeight="1">
      <c r="A24" s="260"/>
      <c r="B24" s="260"/>
      <c r="C24" s="537" t="s">
        <v>192</v>
      </c>
      <c r="D24" s="538">
        <v>1.0</v>
      </c>
      <c r="E24" s="538">
        <v>1.0</v>
      </c>
      <c r="F24" s="538">
        <v>1.0</v>
      </c>
      <c r="G24" s="538">
        <v>1.0</v>
      </c>
      <c r="H24" s="538">
        <v>1.0</v>
      </c>
      <c r="I24" s="538">
        <v>1.0</v>
      </c>
      <c r="J24" s="538">
        <v>1.0</v>
      </c>
      <c r="K24" s="538">
        <v>1.0</v>
      </c>
      <c r="L24" s="538">
        <v>1.0</v>
      </c>
      <c r="M24" s="538">
        <v>1.0</v>
      </c>
      <c r="N24" s="538">
        <f t="shared" ref="N24:N27" si="8">AVERAGE(D24:M24)</f>
        <v>1</v>
      </c>
      <c r="O24" s="539"/>
      <c r="P24" s="540"/>
      <c r="T24" s="260"/>
      <c r="U24" s="260"/>
      <c r="V24" s="260"/>
      <c r="W24" s="260"/>
      <c r="X24" s="260"/>
      <c r="Y24" s="260"/>
      <c r="Z24" s="260"/>
    </row>
    <row r="25" ht="13.5" customHeight="1">
      <c r="A25" s="260"/>
      <c r="B25" s="260"/>
      <c r="C25" s="537" t="s">
        <v>193</v>
      </c>
      <c r="D25" s="500">
        <f t="shared" ref="D25:M25" si="7">D12/D15</f>
        <v>142.54</v>
      </c>
      <c r="E25" s="500">
        <f t="shared" si="7"/>
        <v>121.02</v>
      </c>
      <c r="F25" s="500">
        <f t="shared" si="7"/>
        <v>271.01</v>
      </c>
      <c r="G25" s="500">
        <f t="shared" si="7"/>
        <v>51.39</v>
      </c>
      <c r="H25" s="500">
        <f t="shared" si="7"/>
        <v>31.7275</v>
      </c>
      <c r="I25" s="500">
        <f t="shared" si="7"/>
        <v>220.28</v>
      </c>
      <c r="J25" s="500">
        <f t="shared" si="7"/>
        <v>93.92</v>
      </c>
      <c r="K25" s="500">
        <f t="shared" si="7"/>
        <v>18.559</v>
      </c>
      <c r="L25" s="500">
        <f t="shared" si="7"/>
        <v>517.82</v>
      </c>
      <c r="M25" s="500">
        <f t="shared" si="7"/>
        <v>230.715</v>
      </c>
      <c r="N25" s="500">
        <f t="shared" si="8"/>
        <v>169.89815</v>
      </c>
      <c r="O25" s="539"/>
      <c r="P25" s="542"/>
      <c r="Q25" s="540"/>
      <c r="R25" s="540"/>
      <c r="S25" s="540"/>
      <c r="T25" s="260"/>
      <c r="U25" s="260"/>
      <c r="V25" s="260"/>
      <c r="W25" s="260"/>
      <c r="X25" s="260"/>
      <c r="Y25" s="260"/>
      <c r="Z25" s="260"/>
    </row>
    <row r="26" ht="13.5" customHeight="1">
      <c r="A26" s="260"/>
      <c r="B26" s="260"/>
      <c r="C26" s="537" t="s">
        <v>194</v>
      </c>
      <c r="D26" s="500">
        <f t="shared" ref="D26:M26" si="9">D25*D24</f>
        <v>142.54</v>
      </c>
      <c r="E26" s="500">
        <f t="shared" si="9"/>
        <v>121.02</v>
      </c>
      <c r="F26" s="500">
        <f t="shared" si="9"/>
        <v>271.01</v>
      </c>
      <c r="G26" s="500">
        <f t="shared" si="9"/>
        <v>51.39</v>
      </c>
      <c r="H26" s="500">
        <f t="shared" si="9"/>
        <v>31.7275</v>
      </c>
      <c r="I26" s="500">
        <f t="shared" si="9"/>
        <v>220.28</v>
      </c>
      <c r="J26" s="500">
        <f t="shared" si="9"/>
        <v>93.92</v>
      </c>
      <c r="K26" s="500">
        <f t="shared" si="9"/>
        <v>18.559</v>
      </c>
      <c r="L26" s="500">
        <f t="shared" si="9"/>
        <v>517.82</v>
      </c>
      <c r="M26" s="500">
        <f t="shared" si="9"/>
        <v>230.715</v>
      </c>
      <c r="N26" s="500">
        <f t="shared" si="8"/>
        <v>169.89815</v>
      </c>
      <c r="O26" s="539"/>
      <c r="P26" s="542"/>
      <c r="Q26" s="540"/>
      <c r="R26" s="540"/>
      <c r="S26" s="540"/>
      <c r="T26" s="260"/>
      <c r="U26" s="260"/>
      <c r="V26" s="260"/>
      <c r="W26" s="260"/>
      <c r="X26" s="260"/>
      <c r="Y26" s="260"/>
      <c r="Z26" s="260"/>
    </row>
    <row r="27" ht="13.5" customHeight="1">
      <c r="A27" s="260"/>
      <c r="B27" s="260"/>
      <c r="C27" s="537" t="s">
        <v>195</v>
      </c>
      <c r="D27" s="500">
        <f t="shared" ref="D27:M27" si="10">D26*(1+0.05)</f>
        <v>149.667</v>
      </c>
      <c r="E27" s="500">
        <f t="shared" si="10"/>
        <v>127.071</v>
      </c>
      <c r="F27" s="500">
        <f t="shared" si="10"/>
        <v>284.5605</v>
      </c>
      <c r="G27" s="500">
        <f t="shared" si="10"/>
        <v>53.9595</v>
      </c>
      <c r="H27" s="500">
        <f t="shared" si="10"/>
        <v>33.313875</v>
      </c>
      <c r="I27" s="500">
        <f t="shared" si="10"/>
        <v>231.294</v>
      </c>
      <c r="J27" s="500">
        <f t="shared" si="10"/>
        <v>98.616</v>
      </c>
      <c r="K27" s="500">
        <f t="shared" si="10"/>
        <v>19.48695</v>
      </c>
      <c r="L27" s="500">
        <f t="shared" si="10"/>
        <v>543.711</v>
      </c>
      <c r="M27" s="500">
        <f t="shared" si="10"/>
        <v>242.25075</v>
      </c>
      <c r="N27" s="500">
        <f t="shared" si="8"/>
        <v>178.3930575</v>
      </c>
      <c r="O27" s="543"/>
      <c r="P27" s="543"/>
      <c r="Q27" s="543"/>
      <c r="R27" s="543"/>
      <c r="S27" s="539"/>
      <c r="T27" s="260"/>
      <c r="U27" s="260"/>
      <c r="V27" s="260"/>
      <c r="W27" s="260"/>
      <c r="X27" s="260"/>
      <c r="Y27" s="260"/>
      <c r="Z27" s="260"/>
    </row>
    <row r="28" ht="13.5" customHeight="1">
      <c r="A28" s="260"/>
      <c r="B28" s="260"/>
      <c r="C28" s="544" t="s">
        <v>196</v>
      </c>
      <c r="D28" s="618">
        <f t="shared" ref="D28:M28" si="11">(D27/3600)*100</f>
        <v>4.157416667</v>
      </c>
      <c r="E28" s="618">
        <f t="shared" si="11"/>
        <v>3.52975</v>
      </c>
      <c r="F28" s="618">
        <f t="shared" si="11"/>
        <v>7.904458333</v>
      </c>
      <c r="G28" s="618">
        <f t="shared" si="11"/>
        <v>1.498875</v>
      </c>
      <c r="H28" s="618">
        <f t="shared" si="11"/>
        <v>0.9253854167</v>
      </c>
      <c r="I28" s="618">
        <f t="shared" si="11"/>
        <v>6.424833333</v>
      </c>
      <c r="J28" s="618">
        <f t="shared" si="11"/>
        <v>2.739333333</v>
      </c>
      <c r="K28" s="618">
        <f t="shared" si="11"/>
        <v>0.5413041667</v>
      </c>
      <c r="L28" s="618">
        <f t="shared" si="11"/>
        <v>15.10308333</v>
      </c>
      <c r="M28" s="618">
        <f t="shared" si="11"/>
        <v>6.7291875</v>
      </c>
      <c r="N28" s="545">
        <f>3600/N27</f>
        <v>20.18015752</v>
      </c>
      <c r="O28" s="547"/>
      <c r="Q28" s="547"/>
      <c r="R28" s="547"/>
      <c r="S28" s="260"/>
      <c r="T28" s="260"/>
      <c r="U28" s="260"/>
      <c r="V28" s="260"/>
      <c r="W28" s="260"/>
      <c r="X28" s="260"/>
      <c r="Y28" s="260"/>
      <c r="Z28" s="260"/>
    </row>
    <row r="29" ht="13.5" customHeight="1">
      <c r="A29" s="260"/>
      <c r="B29" s="260"/>
      <c r="C29" s="260"/>
      <c r="D29" s="260"/>
      <c r="E29" s="260"/>
      <c r="F29" s="260"/>
      <c r="G29" s="260"/>
      <c r="H29" s="260"/>
      <c r="I29" s="260"/>
      <c r="J29" s="260"/>
      <c r="K29" s="260"/>
      <c r="L29" s="260"/>
      <c r="M29" s="260"/>
      <c r="N29" s="260"/>
      <c r="O29" s="547"/>
      <c r="Q29" s="547"/>
      <c r="R29" s="547"/>
      <c r="S29" s="260"/>
      <c r="T29" s="260"/>
      <c r="U29" s="260"/>
      <c r="V29" s="260"/>
      <c r="W29" s="260"/>
      <c r="X29" s="260"/>
      <c r="Y29" s="260"/>
      <c r="Z29" s="260"/>
    </row>
    <row r="30" ht="13.5" customHeight="1">
      <c r="A30" s="260"/>
      <c r="B30" s="260"/>
      <c r="C30" s="619" t="s">
        <v>357</v>
      </c>
      <c r="D30" s="521">
        <v>0.05</v>
      </c>
      <c r="E30" s="260"/>
      <c r="F30" s="260"/>
      <c r="G30" s="260"/>
      <c r="H30" s="260"/>
      <c r="I30" s="260"/>
      <c r="J30" s="260"/>
      <c r="K30" s="260"/>
      <c r="L30" s="260"/>
      <c r="M30" s="260"/>
      <c r="N30" s="260"/>
      <c r="O30" s="617"/>
      <c r="P30" s="617"/>
      <c r="Q30" s="617"/>
      <c r="R30" s="617"/>
      <c r="S30" s="260"/>
      <c r="T30" s="260"/>
      <c r="U30" s="260"/>
      <c r="V30" s="260"/>
      <c r="W30" s="260"/>
      <c r="X30" s="260"/>
      <c r="Y30" s="260"/>
      <c r="Z30" s="260"/>
    </row>
    <row r="31" ht="13.5" customHeight="1">
      <c r="A31" s="260"/>
      <c r="B31" s="260"/>
      <c r="C31" s="619" t="s">
        <v>358</v>
      </c>
      <c r="D31" s="338" t="s">
        <v>359</v>
      </c>
      <c r="E31" s="260"/>
      <c r="F31" s="260"/>
      <c r="G31" s="260"/>
      <c r="H31" s="260"/>
      <c r="I31" s="260"/>
      <c r="J31" s="260"/>
      <c r="K31" s="260"/>
      <c r="L31" s="260"/>
      <c r="M31" s="260"/>
      <c r="N31" s="260"/>
      <c r="O31" s="260"/>
      <c r="P31" s="260"/>
      <c r="Q31" s="260"/>
      <c r="R31" s="260"/>
      <c r="S31" s="260"/>
      <c r="T31" s="260"/>
      <c r="U31" s="260"/>
      <c r="V31" s="260"/>
      <c r="W31" s="260"/>
      <c r="X31" s="260"/>
      <c r="Y31" s="260"/>
      <c r="Z31" s="260"/>
    </row>
    <row r="32" ht="13.5" customHeight="1">
      <c r="A32" s="260"/>
      <c r="B32" s="260"/>
      <c r="C32" s="260"/>
      <c r="D32" s="338"/>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635"/>
      <c r="D33" s="260"/>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260"/>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636"/>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4:S24"/>
    <mergeCell ref="O28:P28"/>
    <mergeCell ref="O29:P29"/>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57"/>
    <col customWidth="1" min="2" max="2" width="9.57"/>
    <col customWidth="1" min="3" max="3" width="53.14"/>
    <col customWidth="1" min="4" max="13" width="13.57"/>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522</v>
      </c>
      <c r="C4" s="468"/>
      <c r="D4" s="469"/>
      <c r="E4" s="470" t="s">
        <v>158</v>
      </c>
      <c r="F4" s="468"/>
      <c r="G4" s="469"/>
      <c r="H4" s="555" t="s">
        <v>470</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49" t="s">
        <v>163</v>
      </c>
      <c r="Q7" s="650" t="s">
        <v>164</v>
      </c>
      <c r="R7" s="651"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652"/>
      <c r="Q8" s="117"/>
      <c r="R8" s="653"/>
      <c r="S8" s="260"/>
      <c r="T8" s="260"/>
      <c r="U8" s="260"/>
      <c r="V8" s="260"/>
      <c r="W8" s="260"/>
      <c r="X8" s="260"/>
      <c r="Y8" s="260"/>
      <c r="Z8" s="260"/>
    </row>
    <row r="9" ht="13.5" customHeight="1">
      <c r="A9" s="497"/>
      <c r="B9" s="498">
        <v>1.0</v>
      </c>
      <c r="C9" s="499" t="s">
        <v>481</v>
      </c>
      <c r="D9" s="500">
        <v>10.25</v>
      </c>
      <c r="E9" s="500">
        <v>31.75</v>
      </c>
      <c r="F9" s="500">
        <v>6.16</v>
      </c>
      <c r="G9" s="500">
        <v>13.06</v>
      </c>
      <c r="H9" s="500"/>
      <c r="I9" s="500"/>
      <c r="J9" s="500"/>
      <c r="K9" s="500"/>
      <c r="L9" s="500"/>
      <c r="M9" s="500"/>
      <c r="N9" s="501">
        <f t="shared" ref="N9:N10" si="1">SUM(D9:M9)</f>
        <v>61.22</v>
      </c>
      <c r="O9" s="485"/>
      <c r="P9" s="654">
        <f t="shared" ref="P9:P12" si="2">AVERAGE(D9:M9)</f>
        <v>15.305</v>
      </c>
      <c r="Q9" s="630">
        <f t="shared" ref="Q9:Q12" si="3">MAX(D9:M9)</f>
        <v>31.75</v>
      </c>
      <c r="R9" s="655">
        <f t="shared" ref="R9:R12" si="4">P9/$P$13</f>
        <v>0.0844821638</v>
      </c>
      <c r="S9" s="497"/>
      <c r="T9" s="497"/>
      <c r="U9" s="497"/>
      <c r="V9" s="497"/>
      <c r="W9" s="497"/>
      <c r="X9" s="497"/>
      <c r="Y9" s="497"/>
      <c r="Z9" s="497"/>
    </row>
    <row r="10" ht="13.5" customHeight="1">
      <c r="A10" s="485"/>
      <c r="B10" s="498">
        <v>2.0</v>
      </c>
      <c r="C10" s="563" t="s">
        <v>482</v>
      </c>
      <c r="D10" s="500">
        <v>10.32</v>
      </c>
      <c r="E10" s="500">
        <v>15.37</v>
      </c>
      <c r="F10" s="500">
        <v>17.28</v>
      </c>
      <c r="G10" s="500">
        <v>71.0</v>
      </c>
      <c r="H10" s="500"/>
      <c r="I10" s="500"/>
      <c r="J10" s="500"/>
      <c r="K10" s="500"/>
      <c r="L10" s="500"/>
      <c r="M10" s="500"/>
      <c r="N10" s="501">
        <f t="shared" si="1"/>
        <v>113.97</v>
      </c>
      <c r="O10" s="485"/>
      <c r="P10" s="654">
        <f t="shared" si="2"/>
        <v>28.4925</v>
      </c>
      <c r="Q10" s="630">
        <f t="shared" si="3"/>
        <v>71</v>
      </c>
      <c r="R10" s="655">
        <f t="shared" si="4"/>
        <v>0.1572759263</v>
      </c>
      <c r="S10" s="485"/>
      <c r="T10" s="485"/>
      <c r="U10" s="485"/>
      <c r="V10" s="485"/>
      <c r="W10" s="485"/>
      <c r="X10" s="485"/>
      <c r="Y10" s="485"/>
      <c r="Z10" s="485"/>
    </row>
    <row r="11" ht="13.5" customHeight="1">
      <c r="A11" s="485"/>
      <c r="B11" s="498">
        <v>3.0</v>
      </c>
      <c r="C11" s="499" t="s">
        <v>483</v>
      </c>
      <c r="D11" s="500">
        <v>109.31</v>
      </c>
      <c r="E11" s="500">
        <v>91.74</v>
      </c>
      <c r="F11" s="500">
        <v>82.28</v>
      </c>
      <c r="G11" s="500">
        <v>245.34</v>
      </c>
      <c r="H11" s="500"/>
      <c r="I11" s="500"/>
      <c r="J11" s="500"/>
      <c r="K11" s="500"/>
      <c r="L11" s="500"/>
      <c r="M11" s="500"/>
      <c r="N11" s="501"/>
      <c r="O11" s="485"/>
      <c r="P11" s="654">
        <f t="shared" si="2"/>
        <v>132.1675</v>
      </c>
      <c r="Q11" s="630">
        <f t="shared" si="3"/>
        <v>245.34</v>
      </c>
      <c r="R11" s="655">
        <f t="shared" si="4"/>
        <v>0.7295521976</v>
      </c>
      <c r="S11" s="485"/>
      <c r="T11" s="485"/>
      <c r="U11" s="485"/>
      <c r="V11" s="485"/>
      <c r="W11" s="485"/>
      <c r="X11" s="485"/>
      <c r="Y11" s="485"/>
      <c r="Z11" s="485"/>
    </row>
    <row r="12" ht="13.5" customHeight="1">
      <c r="A12" s="485"/>
      <c r="B12" s="498">
        <v>4.0</v>
      </c>
      <c r="C12" s="499" t="s">
        <v>484</v>
      </c>
      <c r="D12" s="500">
        <v>7.21</v>
      </c>
      <c r="E12" s="500">
        <v>2.34</v>
      </c>
      <c r="F12" s="500">
        <v>5.16</v>
      </c>
      <c r="G12" s="500">
        <v>6.08</v>
      </c>
      <c r="H12" s="500"/>
      <c r="I12" s="500"/>
      <c r="J12" s="500"/>
      <c r="K12" s="500"/>
      <c r="L12" s="500"/>
      <c r="M12" s="500"/>
      <c r="N12" s="501">
        <f t="shared" ref="N12:N13" si="6">SUM(D12:M12)</f>
        <v>20.79</v>
      </c>
      <c r="O12" s="656"/>
      <c r="P12" s="654">
        <f t="shared" si="2"/>
        <v>5.1975</v>
      </c>
      <c r="Q12" s="630">
        <f t="shared" si="3"/>
        <v>7.21</v>
      </c>
      <c r="R12" s="655">
        <f t="shared" si="4"/>
        <v>0.02868971227</v>
      </c>
      <c r="S12" s="485"/>
      <c r="T12" s="485"/>
      <c r="U12" s="485"/>
      <c r="V12" s="485"/>
      <c r="W12" s="485"/>
      <c r="X12" s="485"/>
      <c r="Y12" s="485"/>
      <c r="Z12" s="485"/>
    </row>
    <row r="13" ht="13.5" customHeight="1">
      <c r="A13" s="260"/>
      <c r="B13" s="507"/>
      <c r="C13" s="508" t="s">
        <v>180</v>
      </c>
      <c r="D13" s="613">
        <f t="shared" ref="D13:M13" si="5">SUM(D9:D12)</f>
        <v>137.09</v>
      </c>
      <c r="E13" s="613">
        <f t="shared" si="5"/>
        <v>141.2</v>
      </c>
      <c r="F13" s="613">
        <f t="shared" si="5"/>
        <v>110.88</v>
      </c>
      <c r="G13" s="613">
        <f t="shared" si="5"/>
        <v>335.48</v>
      </c>
      <c r="H13" s="613">
        <f t="shared" si="5"/>
        <v>0</v>
      </c>
      <c r="I13" s="613">
        <f t="shared" si="5"/>
        <v>0</v>
      </c>
      <c r="J13" s="613">
        <f t="shared" si="5"/>
        <v>0</v>
      </c>
      <c r="K13" s="613">
        <f t="shared" si="5"/>
        <v>0</v>
      </c>
      <c r="L13" s="613">
        <f t="shared" si="5"/>
        <v>0</v>
      </c>
      <c r="M13" s="613">
        <f t="shared" si="5"/>
        <v>0</v>
      </c>
      <c r="N13" s="510">
        <f t="shared" si="6"/>
        <v>724.65</v>
      </c>
      <c r="O13" s="656" t="s">
        <v>10</v>
      </c>
      <c r="P13" s="657">
        <f t="shared" ref="P13:R13" si="7">SUM(P9:P12)</f>
        <v>181.1625</v>
      </c>
      <c r="Q13" s="657">
        <f t="shared" si="7"/>
        <v>355.3</v>
      </c>
      <c r="R13" s="657">
        <f t="shared" si="7"/>
        <v>1</v>
      </c>
      <c r="S13" s="260"/>
      <c r="T13" s="260"/>
      <c r="U13" s="260"/>
      <c r="V13" s="260"/>
      <c r="W13" s="260"/>
      <c r="X13" s="260"/>
      <c r="Y13" s="260"/>
      <c r="Z13" s="260"/>
    </row>
    <row r="14" ht="13.5" customHeight="1">
      <c r="A14" s="260"/>
      <c r="B14" s="260"/>
      <c r="C14" s="514"/>
      <c r="D14" s="515"/>
      <c r="E14" s="515"/>
      <c r="F14" s="515"/>
      <c r="G14" s="515"/>
      <c r="H14" s="515"/>
      <c r="I14" s="515"/>
      <c r="J14" s="515"/>
      <c r="K14" s="515"/>
      <c r="L14" s="515"/>
      <c r="M14" s="515"/>
      <c r="N14" s="516">
        <f>N13/60</f>
        <v>12.0775</v>
      </c>
      <c r="O14" s="479"/>
      <c r="P14" s="515"/>
      <c r="Q14" s="515"/>
      <c r="R14" s="479"/>
      <c r="S14" s="260"/>
      <c r="T14" s="260"/>
      <c r="U14" s="260"/>
      <c r="V14" s="260"/>
      <c r="W14" s="260"/>
      <c r="X14" s="260"/>
      <c r="Y14" s="260"/>
      <c r="Z14" s="260"/>
    </row>
    <row r="15" ht="13.5" customHeight="1">
      <c r="A15" s="260"/>
      <c r="B15" s="260"/>
      <c r="C15" s="514"/>
      <c r="D15" s="515"/>
      <c r="E15" s="515"/>
      <c r="F15" s="515"/>
      <c r="G15" s="515" t="s">
        <v>137</v>
      </c>
      <c r="H15" s="515"/>
      <c r="I15" s="515"/>
      <c r="J15" s="515"/>
      <c r="K15" s="515"/>
      <c r="L15" s="515"/>
      <c r="M15" s="515"/>
      <c r="N15" s="517" t="s">
        <v>182</v>
      </c>
      <c r="O15" s="479"/>
      <c r="P15" s="515"/>
      <c r="Q15" s="515"/>
      <c r="R15" s="479"/>
      <c r="S15" s="260"/>
      <c r="T15" s="260"/>
      <c r="U15" s="260"/>
      <c r="V15" s="260"/>
      <c r="W15" s="260"/>
      <c r="X15" s="260"/>
      <c r="Y15" s="260"/>
      <c r="Z15" s="260"/>
    </row>
    <row r="16" ht="7.5" customHeight="1">
      <c r="A16" s="260"/>
      <c r="B16" s="260"/>
      <c r="C16" s="514"/>
      <c r="D16" s="515"/>
      <c r="E16" s="515"/>
      <c r="F16" s="515"/>
      <c r="G16" s="515"/>
      <c r="H16" s="515"/>
      <c r="I16" s="515"/>
      <c r="J16" s="515"/>
      <c r="K16" s="515"/>
      <c r="L16" s="515"/>
      <c r="M16" s="515"/>
      <c r="N16" s="516"/>
      <c r="O16" s="479"/>
      <c r="P16" s="515"/>
      <c r="Q16" s="515"/>
      <c r="R16" s="479"/>
      <c r="S16" s="260"/>
      <c r="T16" s="260"/>
      <c r="U16" s="260"/>
      <c r="V16" s="260"/>
      <c r="W16" s="260"/>
      <c r="X16" s="260"/>
      <c r="Y16" s="260"/>
      <c r="Z16" s="260"/>
    </row>
    <row r="17" ht="13.5" customHeight="1">
      <c r="A17" s="260"/>
      <c r="B17" s="260"/>
      <c r="C17" s="518" t="s">
        <v>417</v>
      </c>
      <c r="D17" s="522">
        <v>1.0</v>
      </c>
      <c r="E17" s="522">
        <v>1.0</v>
      </c>
      <c r="F17" s="522">
        <v>1.0</v>
      </c>
      <c r="G17" s="522">
        <v>1.0</v>
      </c>
      <c r="H17" s="522"/>
      <c r="I17" s="522"/>
      <c r="J17" s="522"/>
      <c r="K17" s="522"/>
      <c r="L17" s="522"/>
      <c r="M17" s="522"/>
      <c r="N17" s="520"/>
      <c r="O17" s="479"/>
      <c r="P17" s="479"/>
      <c r="Q17" s="521"/>
      <c r="R17" s="260"/>
      <c r="S17" s="260"/>
      <c r="T17" s="260"/>
      <c r="U17" s="260"/>
      <c r="V17" s="260"/>
      <c r="W17" s="260"/>
      <c r="X17" s="260"/>
      <c r="Y17" s="260"/>
      <c r="Z17" s="260"/>
    </row>
    <row r="18" ht="13.5" customHeight="1">
      <c r="A18" s="260"/>
      <c r="B18" s="260"/>
      <c r="C18" s="518" t="s">
        <v>294</v>
      </c>
      <c r="D18" s="522"/>
      <c r="E18" s="522"/>
      <c r="F18" s="522"/>
      <c r="G18" s="522"/>
      <c r="H18" s="522"/>
      <c r="I18" s="522"/>
      <c r="J18" s="522"/>
      <c r="K18" s="522"/>
      <c r="L18" s="522"/>
      <c r="M18" s="522"/>
      <c r="N18" s="520"/>
      <c r="O18" s="479"/>
      <c r="P18" s="479"/>
      <c r="Q18" s="521"/>
      <c r="R18" s="260"/>
      <c r="S18" s="260"/>
      <c r="T18" s="260"/>
      <c r="U18" s="260"/>
      <c r="V18" s="260"/>
      <c r="W18" s="260"/>
      <c r="X18" s="260"/>
      <c r="Y18" s="260"/>
      <c r="Z18" s="260"/>
    </row>
    <row r="19" ht="13.5" customHeight="1">
      <c r="A19" s="260"/>
      <c r="B19" s="260"/>
      <c r="C19" s="518" t="s">
        <v>187</v>
      </c>
      <c r="D19" s="522" t="s">
        <v>298</v>
      </c>
      <c r="E19" s="522" t="s">
        <v>298</v>
      </c>
      <c r="F19" s="522" t="s">
        <v>298</v>
      </c>
      <c r="G19" s="522" t="s">
        <v>298</v>
      </c>
      <c r="H19" s="522" t="s">
        <v>298</v>
      </c>
      <c r="I19" s="522" t="s">
        <v>298</v>
      </c>
      <c r="J19" s="522" t="s">
        <v>298</v>
      </c>
      <c r="K19" s="522" t="s">
        <v>298</v>
      </c>
      <c r="L19" s="522" t="s">
        <v>298</v>
      </c>
      <c r="M19" s="522" t="s">
        <v>298</v>
      </c>
      <c r="N19" s="520"/>
      <c r="O19" s="479"/>
      <c r="P19" s="479"/>
      <c r="Q19" s="521"/>
      <c r="R19" s="260"/>
      <c r="S19" s="260"/>
      <c r="T19" s="260"/>
      <c r="U19" s="260"/>
      <c r="V19" s="260"/>
      <c r="W19" s="260"/>
      <c r="X19" s="260"/>
      <c r="Y19" s="260"/>
      <c r="Z19" s="260"/>
    </row>
    <row r="20" ht="13.5" customHeight="1">
      <c r="A20" s="260"/>
      <c r="B20" s="260"/>
      <c r="C20" s="518" t="s">
        <v>474</v>
      </c>
      <c r="D20" s="522" t="s">
        <v>274</v>
      </c>
      <c r="E20" s="522" t="s">
        <v>273</v>
      </c>
      <c r="F20" s="522" t="s">
        <v>274</v>
      </c>
      <c r="G20" s="522" t="s">
        <v>273</v>
      </c>
      <c r="H20" s="522"/>
      <c r="I20" s="522"/>
      <c r="J20" s="522"/>
      <c r="K20" s="522"/>
      <c r="L20" s="522"/>
      <c r="M20" s="522"/>
      <c r="N20" s="520"/>
      <c r="O20" s="479"/>
      <c r="P20" s="479"/>
      <c r="Q20" s="521"/>
      <c r="R20" s="260"/>
      <c r="S20" s="260"/>
      <c r="T20" s="260"/>
      <c r="U20" s="260"/>
      <c r="V20" s="260"/>
      <c r="W20" s="260"/>
      <c r="X20" s="260"/>
      <c r="Y20" s="260"/>
      <c r="Z20" s="260"/>
    </row>
    <row r="21" ht="13.5" customHeight="1">
      <c r="A21" s="260"/>
      <c r="B21" s="260"/>
      <c r="C21" s="570" t="s">
        <v>243</v>
      </c>
      <c r="D21" s="658" t="s">
        <v>491</v>
      </c>
      <c r="E21" s="571" t="s">
        <v>492</v>
      </c>
      <c r="F21" s="658" t="s">
        <v>493</v>
      </c>
      <c r="G21" s="658" t="s">
        <v>494</v>
      </c>
      <c r="H21" s="571"/>
      <c r="I21" s="571"/>
      <c r="J21" s="571"/>
      <c r="K21" s="571"/>
      <c r="L21" s="571"/>
      <c r="M21" s="571"/>
      <c r="N21" s="520"/>
      <c r="O21" s="479"/>
      <c r="P21" s="479"/>
      <c r="Q21" s="521"/>
      <c r="R21" s="260"/>
      <c r="S21" s="260"/>
      <c r="T21" s="260"/>
      <c r="U21" s="260"/>
      <c r="V21" s="260"/>
      <c r="W21" s="260"/>
      <c r="X21" s="260"/>
      <c r="Y21" s="260"/>
      <c r="Z21" s="260"/>
    </row>
    <row r="22" ht="13.5" customHeight="1">
      <c r="A22" s="260"/>
      <c r="B22" s="260"/>
      <c r="C22" s="572" t="s">
        <v>304</v>
      </c>
      <c r="D22" s="659"/>
      <c r="E22" s="633"/>
      <c r="F22" s="633"/>
      <c r="G22" s="633"/>
      <c r="H22" s="633"/>
      <c r="I22" s="633"/>
      <c r="J22" s="633"/>
      <c r="K22" s="633"/>
      <c r="L22" s="633"/>
      <c r="M22" s="633"/>
      <c r="N22" s="520"/>
      <c r="O22" s="479"/>
      <c r="P22" s="479"/>
      <c r="Q22" s="521"/>
      <c r="R22" s="260"/>
      <c r="S22" s="260"/>
      <c r="T22" s="260"/>
      <c r="U22" s="260"/>
      <c r="V22" s="260"/>
      <c r="W22" s="260"/>
      <c r="X22" s="260"/>
      <c r="Y22" s="260"/>
      <c r="Z22" s="260"/>
    </row>
    <row r="23" ht="13.5" customHeight="1">
      <c r="A23" s="260"/>
      <c r="B23" s="260"/>
      <c r="C23" s="514"/>
      <c r="D23" s="479"/>
      <c r="E23" s="479"/>
      <c r="F23" s="479"/>
      <c r="G23" s="479"/>
      <c r="H23" s="479"/>
      <c r="I23" s="479"/>
      <c r="J23" s="479"/>
      <c r="K23" s="479"/>
      <c r="L23" s="479"/>
      <c r="M23" s="479"/>
      <c r="N23" s="520"/>
      <c r="O23" s="479"/>
      <c r="P23" s="479"/>
      <c r="Q23" s="521"/>
      <c r="R23" s="260"/>
      <c r="S23" s="260"/>
      <c r="T23" s="260"/>
      <c r="U23" s="260"/>
      <c r="V23" s="260"/>
      <c r="W23" s="260"/>
      <c r="X23" s="260"/>
      <c r="Y23" s="260"/>
      <c r="Z23" s="260"/>
    </row>
    <row r="24" ht="13.5" customHeight="1">
      <c r="A24" s="532"/>
      <c r="B24" s="532"/>
      <c r="C24" s="548" t="s">
        <v>422</v>
      </c>
      <c r="D24" s="532"/>
      <c r="E24" s="532"/>
      <c r="F24" s="532"/>
      <c r="G24" s="532"/>
      <c r="H24" s="532"/>
      <c r="I24" s="532"/>
      <c r="J24" s="532"/>
      <c r="K24" s="532"/>
      <c r="L24" s="532"/>
      <c r="M24" s="532"/>
      <c r="N24" s="534" t="s">
        <v>163</v>
      </c>
      <c r="O24" s="535"/>
      <c r="P24" s="535"/>
      <c r="Q24" s="535"/>
      <c r="R24" s="536"/>
      <c r="S24" s="536"/>
      <c r="T24" s="532"/>
      <c r="U24" s="532"/>
      <c r="V24" s="532"/>
      <c r="W24" s="532"/>
      <c r="X24" s="532"/>
      <c r="Y24" s="532"/>
      <c r="Z24" s="532"/>
    </row>
    <row r="25" ht="13.5" customHeight="1">
      <c r="A25" s="260"/>
      <c r="B25" s="260"/>
      <c r="C25" s="537" t="s">
        <v>192</v>
      </c>
      <c r="D25" s="538">
        <v>1.0</v>
      </c>
      <c r="E25" s="538">
        <v>1.0</v>
      </c>
      <c r="F25" s="538">
        <v>1.0</v>
      </c>
      <c r="G25" s="538">
        <v>1.0</v>
      </c>
      <c r="H25" s="538">
        <v>1.0</v>
      </c>
      <c r="I25" s="538">
        <v>1.0</v>
      </c>
      <c r="J25" s="538">
        <v>1.0</v>
      </c>
      <c r="K25" s="538">
        <v>1.0</v>
      </c>
      <c r="L25" s="538">
        <v>1.0</v>
      </c>
      <c r="M25" s="538">
        <v>1.0</v>
      </c>
      <c r="N25" s="538">
        <f t="shared" ref="N25:N28" si="9">AVERAGE(D25:M25)</f>
        <v>1</v>
      </c>
      <c r="O25" s="539"/>
      <c r="P25" s="540"/>
      <c r="T25" s="260"/>
      <c r="U25" s="260"/>
      <c r="V25" s="260"/>
      <c r="W25" s="260"/>
      <c r="X25" s="260"/>
      <c r="Y25" s="260"/>
      <c r="Z25" s="260"/>
    </row>
    <row r="26" ht="13.5" customHeight="1">
      <c r="A26" s="260"/>
      <c r="B26" s="260"/>
      <c r="C26" s="537" t="s">
        <v>193</v>
      </c>
      <c r="D26" s="500">
        <f t="shared" ref="D26:M26" si="8">D13/D17</f>
        <v>137.09</v>
      </c>
      <c r="E26" s="500">
        <f t="shared" si="8"/>
        <v>141.2</v>
      </c>
      <c r="F26" s="500">
        <f t="shared" si="8"/>
        <v>110.88</v>
      </c>
      <c r="G26" s="500">
        <f t="shared" si="8"/>
        <v>335.48</v>
      </c>
      <c r="H26" s="500" t="str">
        <f t="shared" si="8"/>
        <v>#DIV/0!</v>
      </c>
      <c r="I26" s="500" t="str">
        <f t="shared" si="8"/>
        <v>#DIV/0!</v>
      </c>
      <c r="J26" s="500" t="str">
        <f t="shared" si="8"/>
        <v>#DIV/0!</v>
      </c>
      <c r="K26" s="500" t="str">
        <f t="shared" si="8"/>
        <v>#DIV/0!</v>
      </c>
      <c r="L26" s="500" t="str">
        <f t="shared" si="8"/>
        <v>#DIV/0!</v>
      </c>
      <c r="M26" s="500" t="str">
        <f t="shared" si="8"/>
        <v>#DIV/0!</v>
      </c>
      <c r="N26" s="500" t="str">
        <f t="shared" si="9"/>
        <v>#DIV/0!</v>
      </c>
      <c r="O26" s="539"/>
      <c r="P26" s="542"/>
      <c r="Q26" s="540"/>
      <c r="R26" s="540"/>
      <c r="S26" s="540"/>
      <c r="T26" s="260"/>
      <c r="U26" s="260"/>
      <c r="V26" s="260"/>
      <c r="W26" s="260"/>
      <c r="X26" s="260"/>
      <c r="Y26" s="260"/>
      <c r="Z26" s="260"/>
    </row>
    <row r="27" ht="13.5" customHeight="1">
      <c r="A27" s="260"/>
      <c r="B27" s="260"/>
      <c r="C27" s="537" t="s">
        <v>194</v>
      </c>
      <c r="D27" s="500">
        <f t="shared" ref="D27:M27" si="10">D26*D25</f>
        <v>137.09</v>
      </c>
      <c r="E27" s="500">
        <f t="shared" si="10"/>
        <v>141.2</v>
      </c>
      <c r="F27" s="500">
        <f t="shared" si="10"/>
        <v>110.88</v>
      </c>
      <c r="G27" s="500">
        <f t="shared" si="10"/>
        <v>335.48</v>
      </c>
      <c r="H27" s="500" t="str">
        <f t="shared" si="10"/>
        <v>#DIV/0!</v>
      </c>
      <c r="I27" s="500" t="str">
        <f t="shared" si="10"/>
        <v>#DIV/0!</v>
      </c>
      <c r="J27" s="500" t="str">
        <f t="shared" si="10"/>
        <v>#DIV/0!</v>
      </c>
      <c r="K27" s="500" t="str">
        <f t="shared" si="10"/>
        <v>#DIV/0!</v>
      </c>
      <c r="L27" s="500" t="str">
        <f t="shared" si="10"/>
        <v>#DIV/0!</v>
      </c>
      <c r="M27" s="500" t="str">
        <f t="shared" si="10"/>
        <v>#DIV/0!</v>
      </c>
      <c r="N27" s="500" t="str">
        <f t="shared" si="9"/>
        <v>#DIV/0!</v>
      </c>
      <c r="O27" s="539"/>
      <c r="P27" s="542"/>
      <c r="Q27" s="540"/>
      <c r="R27" s="540"/>
      <c r="S27" s="540"/>
      <c r="T27" s="260"/>
      <c r="U27" s="260"/>
      <c r="V27" s="260"/>
      <c r="W27" s="260"/>
      <c r="X27" s="260"/>
      <c r="Y27" s="260"/>
      <c r="Z27" s="260"/>
    </row>
    <row r="28" ht="13.5" customHeight="1">
      <c r="A28" s="260"/>
      <c r="B28" s="260"/>
      <c r="C28" s="537" t="s">
        <v>195</v>
      </c>
      <c r="D28" s="500">
        <f t="shared" ref="D28:M28" si="11">D27*(1+0.05)</f>
        <v>143.9445</v>
      </c>
      <c r="E28" s="500">
        <f t="shared" si="11"/>
        <v>148.26</v>
      </c>
      <c r="F28" s="500">
        <f t="shared" si="11"/>
        <v>116.424</v>
      </c>
      <c r="G28" s="500">
        <f t="shared" si="11"/>
        <v>352.254</v>
      </c>
      <c r="H28" s="500" t="str">
        <f t="shared" si="11"/>
        <v>#DIV/0!</v>
      </c>
      <c r="I28" s="500" t="str">
        <f t="shared" si="11"/>
        <v>#DIV/0!</v>
      </c>
      <c r="J28" s="500" t="str">
        <f t="shared" si="11"/>
        <v>#DIV/0!</v>
      </c>
      <c r="K28" s="500" t="str">
        <f t="shared" si="11"/>
        <v>#DIV/0!</v>
      </c>
      <c r="L28" s="500" t="str">
        <f t="shared" si="11"/>
        <v>#DIV/0!</v>
      </c>
      <c r="M28" s="500" t="str">
        <f t="shared" si="11"/>
        <v>#DIV/0!</v>
      </c>
      <c r="N28" s="500" t="str">
        <f t="shared" si="9"/>
        <v>#DIV/0!</v>
      </c>
      <c r="O28" s="543"/>
      <c r="P28" s="543"/>
      <c r="Q28" s="543"/>
      <c r="R28" s="543"/>
      <c r="S28" s="539"/>
      <c r="T28" s="260"/>
      <c r="U28" s="260"/>
      <c r="V28" s="260"/>
      <c r="W28" s="260"/>
      <c r="X28" s="260"/>
      <c r="Y28" s="260"/>
      <c r="Z28" s="260"/>
    </row>
    <row r="29" ht="13.5" customHeight="1">
      <c r="A29" s="260"/>
      <c r="B29" s="260"/>
      <c r="C29" s="544" t="s">
        <v>196</v>
      </c>
      <c r="D29" s="500"/>
      <c r="E29" s="500"/>
      <c r="F29" s="500"/>
      <c r="G29" s="500"/>
      <c r="H29" s="500"/>
      <c r="I29" s="500"/>
      <c r="J29" s="500"/>
      <c r="K29" s="500"/>
      <c r="L29" s="500"/>
      <c r="M29" s="500"/>
      <c r="N29" s="545" t="str">
        <f>3600/N28</f>
        <v>#DIV/0!</v>
      </c>
      <c r="O29" s="547"/>
      <c r="Q29" s="547"/>
      <c r="R29" s="547"/>
      <c r="S29" s="260"/>
      <c r="T29" s="260"/>
      <c r="U29" s="260"/>
      <c r="V29" s="260"/>
      <c r="W29" s="260"/>
      <c r="X29" s="260"/>
      <c r="Y29" s="260"/>
      <c r="Z29" s="260"/>
    </row>
    <row r="30" ht="13.5" customHeight="1">
      <c r="A30" s="260"/>
      <c r="B30" s="260"/>
      <c r="C30" s="260"/>
      <c r="D30" s="260"/>
      <c r="E30" s="260"/>
      <c r="F30" s="260"/>
      <c r="G30" s="260"/>
      <c r="H30" s="260"/>
      <c r="I30" s="260"/>
      <c r="J30" s="260"/>
      <c r="K30" s="260"/>
      <c r="L30" s="260"/>
      <c r="M30" s="260"/>
      <c r="N30" s="260"/>
      <c r="O30" s="547"/>
      <c r="Q30" s="547"/>
      <c r="R30" s="547"/>
      <c r="S30" s="260"/>
      <c r="T30" s="260"/>
      <c r="U30" s="260"/>
      <c r="V30" s="260"/>
      <c r="W30" s="260"/>
      <c r="X30" s="260"/>
      <c r="Y30" s="260"/>
      <c r="Z30" s="260"/>
    </row>
    <row r="31" ht="13.5" customHeight="1">
      <c r="A31" s="260"/>
      <c r="B31" s="260"/>
      <c r="C31" s="619" t="s">
        <v>357</v>
      </c>
      <c r="D31" s="521">
        <v>0.05</v>
      </c>
      <c r="E31" s="260"/>
      <c r="F31" s="260"/>
      <c r="G31" s="260"/>
      <c r="H31" s="260"/>
      <c r="I31" s="260"/>
      <c r="J31" s="260"/>
      <c r="K31" s="260"/>
      <c r="L31" s="260"/>
      <c r="M31" s="260"/>
      <c r="N31" s="260"/>
      <c r="O31" s="617"/>
      <c r="P31" s="617"/>
      <c r="Q31" s="617"/>
      <c r="R31" s="617"/>
      <c r="S31" s="260"/>
      <c r="T31" s="260"/>
      <c r="U31" s="260"/>
      <c r="V31" s="260"/>
      <c r="W31" s="260"/>
      <c r="X31" s="260"/>
      <c r="Y31" s="260"/>
      <c r="Z31" s="260"/>
    </row>
    <row r="32" ht="13.5" customHeight="1">
      <c r="A32" s="260"/>
      <c r="B32" s="260"/>
      <c r="C32" s="619" t="s">
        <v>358</v>
      </c>
      <c r="D32" s="338" t="s">
        <v>359</v>
      </c>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338"/>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635"/>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636"/>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5:S25"/>
    <mergeCell ref="O29:P29"/>
    <mergeCell ref="O30:P30"/>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57"/>
    <col customWidth="1" min="2" max="2" width="9.57"/>
    <col customWidth="1" min="3" max="3" width="53.14"/>
    <col customWidth="1" min="4" max="13" width="13.57"/>
    <col customWidth="1" min="14" max="14" width="17.71"/>
    <col customWidth="1" min="15" max="15" width="8.71"/>
    <col customWidth="1" min="16" max="18" width="12.57"/>
    <col customWidth="1" min="19" max="26" width="8.71"/>
  </cols>
  <sheetData>
    <row r="1" ht="13.5" customHeight="1">
      <c r="A1" s="260"/>
      <c r="B1" s="260"/>
      <c r="C1" s="260"/>
      <c r="D1" s="260"/>
      <c r="E1" s="260"/>
      <c r="F1" s="260"/>
      <c r="G1" s="260"/>
      <c r="H1" s="260"/>
      <c r="I1" s="260"/>
      <c r="J1" s="260"/>
      <c r="K1" s="260"/>
      <c r="L1" s="260"/>
      <c r="M1" s="260"/>
      <c r="N1" s="260"/>
      <c r="O1" s="260"/>
      <c r="P1" s="260"/>
      <c r="Q1" s="260"/>
      <c r="R1" s="260"/>
      <c r="S1" s="260"/>
      <c r="T1" s="260"/>
      <c r="U1" s="260"/>
      <c r="V1" s="260"/>
      <c r="W1" s="260"/>
      <c r="X1" s="260"/>
      <c r="Y1" s="260"/>
      <c r="Z1" s="260"/>
    </row>
    <row r="2" ht="13.5" customHeight="1">
      <c r="A2" s="260"/>
      <c r="B2" s="461" t="s">
        <v>152</v>
      </c>
      <c r="O2" s="260"/>
      <c r="P2" s="260"/>
      <c r="Q2" s="260"/>
      <c r="R2" s="260"/>
      <c r="S2" s="260"/>
      <c r="T2" s="260"/>
      <c r="U2" s="260"/>
      <c r="V2" s="260"/>
      <c r="W2" s="260"/>
      <c r="X2" s="260"/>
      <c r="Y2" s="260"/>
      <c r="Z2" s="260"/>
    </row>
    <row r="3" ht="13.5" customHeight="1">
      <c r="A3" s="260"/>
      <c r="B3" s="462" t="s">
        <v>153</v>
      </c>
      <c r="C3" s="463"/>
      <c r="D3" s="464"/>
      <c r="E3" s="465" t="s">
        <v>154</v>
      </c>
      <c r="F3" s="463"/>
      <c r="G3" s="464"/>
      <c r="H3" s="465" t="s">
        <v>155</v>
      </c>
      <c r="I3" s="463"/>
      <c r="J3" s="464"/>
      <c r="K3" s="465" t="s">
        <v>287</v>
      </c>
      <c r="L3" s="463"/>
      <c r="M3" s="463"/>
      <c r="N3" s="466"/>
      <c r="O3" s="260"/>
      <c r="P3" s="260"/>
      <c r="Q3" s="260"/>
      <c r="R3" s="260"/>
      <c r="S3" s="260"/>
      <c r="T3" s="260"/>
      <c r="U3" s="260"/>
      <c r="V3" s="260"/>
      <c r="W3" s="260"/>
      <c r="X3" s="260"/>
      <c r="Y3" s="260"/>
      <c r="Z3" s="260"/>
    </row>
    <row r="4" ht="15.0" customHeight="1">
      <c r="A4" s="260"/>
      <c r="B4" s="467" t="s">
        <v>523</v>
      </c>
      <c r="C4" s="468"/>
      <c r="D4" s="469"/>
      <c r="E4" s="470" t="s">
        <v>158</v>
      </c>
      <c r="F4" s="468"/>
      <c r="G4" s="469"/>
      <c r="H4" s="555" t="s">
        <v>470</v>
      </c>
      <c r="I4" s="468"/>
      <c r="J4" s="469"/>
      <c r="K4" s="472"/>
      <c r="L4" s="468"/>
      <c r="M4" s="468"/>
      <c r="N4" s="473"/>
      <c r="O4" s="260"/>
      <c r="P4" s="260"/>
      <c r="Q4" s="260"/>
      <c r="R4" s="260"/>
      <c r="S4" s="260"/>
      <c r="T4" s="260"/>
      <c r="U4" s="260"/>
      <c r="V4" s="260"/>
      <c r="W4" s="260"/>
      <c r="X4" s="260"/>
      <c r="Y4" s="260"/>
      <c r="Z4" s="260"/>
    </row>
    <row r="5" ht="15.0" customHeight="1">
      <c r="A5" s="260"/>
      <c r="B5" s="474"/>
      <c r="C5" s="475"/>
      <c r="D5" s="476"/>
      <c r="E5" s="477"/>
      <c r="F5" s="475"/>
      <c r="G5" s="476"/>
      <c r="H5" s="477"/>
      <c r="I5" s="475"/>
      <c r="J5" s="476"/>
      <c r="K5" s="477"/>
      <c r="L5" s="475"/>
      <c r="M5" s="475"/>
      <c r="N5" s="478"/>
      <c r="O5" s="260"/>
      <c r="P5" s="260"/>
      <c r="Q5" s="260"/>
      <c r="R5" s="260"/>
      <c r="S5" s="260"/>
      <c r="T5" s="260"/>
      <c r="U5" s="260"/>
      <c r="V5" s="260"/>
      <c r="W5" s="260"/>
      <c r="X5" s="260"/>
      <c r="Y5" s="260"/>
      <c r="Z5" s="260"/>
    </row>
    <row r="6" ht="15.0" customHeight="1">
      <c r="A6" s="260"/>
      <c r="B6" s="479"/>
      <c r="C6" s="479"/>
      <c r="D6" s="479"/>
      <c r="E6" s="479"/>
      <c r="F6" s="479"/>
      <c r="G6" s="479"/>
      <c r="H6" s="479"/>
      <c r="I6" s="479"/>
      <c r="J6" s="479"/>
      <c r="K6" s="480"/>
      <c r="L6" s="480"/>
      <c r="M6" s="480"/>
      <c r="N6" s="480"/>
      <c r="O6" s="260"/>
      <c r="P6" s="260"/>
      <c r="Q6" s="260"/>
      <c r="R6" s="260"/>
      <c r="S6" s="260"/>
      <c r="T6" s="260"/>
      <c r="U6" s="260"/>
      <c r="V6" s="260"/>
      <c r="W6" s="260"/>
      <c r="X6" s="260"/>
      <c r="Y6" s="260"/>
      <c r="Z6" s="260"/>
    </row>
    <row r="7" ht="13.5" customHeight="1">
      <c r="A7" s="260"/>
      <c r="B7" s="481" t="s">
        <v>159</v>
      </c>
      <c r="C7" s="482" t="s">
        <v>160</v>
      </c>
      <c r="D7" s="483" t="s">
        <v>161</v>
      </c>
      <c r="E7" s="463"/>
      <c r="F7" s="463"/>
      <c r="G7" s="463"/>
      <c r="H7" s="463"/>
      <c r="I7" s="463"/>
      <c r="J7" s="463"/>
      <c r="K7" s="463"/>
      <c r="L7" s="463"/>
      <c r="M7" s="464"/>
      <c r="N7" s="484" t="s">
        <v>162</v>
      </c>
      <c r="O7" s="485"/>
      <c r="P7" s="649" t="s">
        <v>163</v>
      </c>
      <c r="Q7" s="650" t="s">
        <v>164</v>
      </c>
      <c r="R7" s="651" t="s">
        <v>289</v>
      </c>
      <c r="S7" s="260"/>
      <c r="T7" s="260"/>
      <c r="U7" s="260"/>
      <c r="V7" s="260"/>
      <c r="W7" s="260"/>
      <c r="X7" s="260"/>
      <c r="Y7" s="260"/>
      <c r="Z7" s="260"/>
    </row>
    <row r="8" ht="13.5" customHeight="1">
      <c r="A8" s="260"/>
      <c r="B8" s="491"/>
      <c r="C8" s="117"/>
      <c r="D8" s="492" t="s">
        <v>224</v>
      </c>
      <c r="E8" s="492" t="s">
        <v>225</v>
      </c>
      <c r="F8" s="492" t="s">
        <v>226</v>
      </c>
      <c r="G8" s="492" t="s">
        <v>227</v>
      </c>
      <c r="H8" s="492" t="s">
        <v>228</v>
      </c>
      <c r="I8" s="492" t="s">
        <v>229</v>
      </c>
      <c r="J8" s="492" t="s">
        <v>230</v>
      </c>
      <c r="K8" s="492" t="s">
        <v>231</v>
      </c>
      <c r="L8" s="492" t="s">
        <v>232</v>
      </c>
      <c r="M8" s="492" t="s">
        <v>233</v>
      </c>
      <c r="N8" s="493" t="s">
        <v>234</v>
      </c>
      <c r="O8" s="485"/>
      <c r="P8" s="652"/>
      <c r="Q8" s="117"/>
      <c r="R8" s="653"/>
      <c r="S8" s="260"/>
      <c r="T8" s="260"/>
      <c r="U8" s="260"/>
      <c r="V8" s="260"/>
      <c r="W8" s="260"/>
      <c r="X8" s="260"/>
      <c r="Y8" s="260"/>
      <c r="Z8" s="260"/>
    </row>
    <row r="9" ht="13.5" customHeight="1">
      <c r="A9" s="497"/>
      <c r="B9" s="498">
        <v>1.0</v>
      </c>
      <c r="C9" s="499" t="s">
        <v>524</v>
      </c>
      <c r="D9" s="500"/>
      <c r="E9" s="500"/>
      <c r="F9" s="500"/>
      <c r="G9" s="500"/>
      <c r="H9" s="500"/>
      <c r="I9" s="500"/>
      <c r="J9" s="500"/>
      <c r="K9" s="500"/>
      <c r="L9" s="500"/>
      <c r="M9" s="500"/>
      <c r="N9" s="501">
        <f t="shared" ref="N9:N10" si="1">SUM(D9:M9)</f>
        <v>0</v>
      </c>
      <c r="O9" s="485"/>
      <c r="P9" s="654" t="str">
        <f t="shared" ref="P9:P12" si="2">AVERAGE(D9:M9)</f>
        <v>#DIV/0!</v>
      </c>
      <c r="Q9" s="630">
        <f t="shared" ref="Q9:Q12" si="3">MAX(D9:M9)</f>
        <v>0</v>
      </c>
      <c r="R9" s="655" t="str">
        <f t="shared" ref="R9:R12" si="4">P9/$P$13</f>
        <v>#DIV/0!</v>
      </c>
      <c r="S9" s="497"/>
      <c r="T9" s="497"/>
      <c r="U9" s="497"/>
      <c r="V9" s="497"/>
      <c r="W9" s="497"/>
      <c r="X9" s="497"/>
      <c r="Y9" s="497"/>
      <c r="Z9" s="497"/>
    </row>
    <row r="10" ht="13.5" customHeight="1">
      <c r="A10" s="485"/>
      <c r="B10" s="498">
        <v>2.0</v>
      </c>
      <c r="C10" s="499" t="s">
        <v>525</v>
      </c>
      <c r="D10" s="500"/>
      <c r="E10" s="500"/>
      <c r="F10" s="500"/>
      <c r="G10" s="500"/>
      <c r="H10" s="500"/>
      <c r="I10" s="500"/>
      <c r="J10" s="500"/>
      <c r="K10" s="500"/>
      <c r="L10" s="500"/>
      <c r="M10" s="500"/>
      <c r="N10" s="501">
        <f t="shared" si="1"/>
        <v>0</v>
      </c>
      <c r="O10" s="485"/>
      <c r="P10" s="654" t="str">
        <f t="shared" si="2"/>
        <v>#DIV/0!</v>
      </c>
      <c r="Q10" s="630">
        <f t="shared" si="3"/>
        <v>0</v>
      </c>
      <c r="R10" s="655" t="str">
        <f t="shared" si="4"/>
        <v>#DIV/0!</v>
      </c>
      <c r="S10" s="485"/>
      <c r="T10" s="485"/>
      <c r="U10" s="485"/>
      <c r="V10" s="485"/>
      <c r="W10" s="485"/>
      <c r="X10" s="485"/>
      <c r="Y10" s="485"/>
      <c r="Z10" s="485"/>
    </row>
    <row r="11" ht="13.5" customHeight="1">
      <c r="A11" s="485"/>
      <c r="B11" s="498">
        <v>3.0</v>
      </c>
      <c r="C11" s="499" t="s">
        <v>526</v>
      </c>
      <c r="D11" s="500"/>
      <c r="E11" s="500"/>
      <c r="F11" s="500"/>
      <c r="G11" s="500"/>
      <c r="H11" s="500"/>
      <c r="I11" s="500"/>
      <c r="J11" s="500"/>
      <c r="K11" s="500"/>
      <c r="L11" s="500"/>
      <c r="M11" s="500"/>
      <c r="N11" s="501"/>
      <c r="O11" s="485"/>
      <c r="P11" s="654" t="str">
        <f t="shared" si="2"/>
        <v>#DIV/0!</v>
      </c>
      <c r="Q11" s="630">
        <f t="shared" si="3"/>
        <v>0</v>
      </c>
      <c r="R11" s="655" t="str">
        <f t="shared" si="4"/>
        <v>#DIV/0!</v>
      </c>
      <c r="S11" s="485"/>
      <c r="T11" s="485"/>
      <c r="U11" s="485"/>
      <c r="V11" s="485"/>
      <c r="W11" s="485"/>
      <c r="X11" s="485"/>
      <c r="Y11" s="485"/>
      <c r="Z11" s="485"/>
    </row>
    <row r="12" ht="13.5" customHeight="1">
      <c r="A12" s="485"/>
      <c r="B12" s="498">
        <v>4.0</v>
      </c>
      <c r="C12" s="499" t="s">
        <v>527</v>
      </c>
      <c r="D12" s="500"/>
      <c r="E12" s="500"/>
      <c r="F12" s="500"/>
      <c r="G12" s="500"/>
      <c r="H12" s="500"/>
      <c r="I12" s="500"/>
      <c r="J12" s="500"/>
      <c r="K12" s="500"/>
      <c r="L12" s="500"/>
      <c r="M12" s="500"/>
      <c r="N12" s="501">
        <f t="shared" ref="N12:N13" si="6">SUM(D12:M12)</f>
        <v>0</v>
      </c>
      <c r="O12" s="656"/>
      <c r="P12" s="654" t="str">
        <f t="shared" si="2"/>
        <v>#DIV/0!</v>
      </c>
      <c r="Q12" s="630">
        <f t="shared" si="3"/>
        <v>0</v>
      </c>
      <c r="R12" s="655" t="str">
        <f t="shared" si="4"/>
        <v>#DIV/0!</v>
      </c>
      <c r="S12" s="485"/>
      <c r="T12" s="485"/>
      <c r="U12" s="485"/>
      <c r="V12" s="485"/>
      <c r="W12" s="485"/>
      <c r="X12" s="485"/>
      <c r="Y12" s="485"/>
      <c r="Z12" s="485"/>
    </row>
    <row r="13" ht="13.5" customHeight="1">
      <c r="A13" s="260"/>
      <c r="B13" s="507"/>
      <c r="C13" s="508" t="s">
        <v>180</v>
      </c>
      <c r="D13" s="613">
        <f t="shared" ref="D13:M13" si="5">SUM(D9:D12)</f>
        <v>0</v>
      </c>
      <c r="E13" s="613">
        <f t="shared" si="5"/>
        <v>0</v>
      </c>
      <c r="F13" s="613">
        <f t="shared" si="5"/>
        <v>0</v>
      </c>
      <c r="G13" s="613">
        <f t="shared" si="5"/>
        <v>0</v>
      </c>
      <c r="H13" s="613">
        <f t="shared" si="5"/>
        <v>0</v>
      </c>
      <c r="I13" s="613">
        <f t="shared" si="5"/>
        <v>0</v>
      </c>
      <c r="J13" s="613">
        <f t="shared" si="5"/>
        <v>0</v>
      </c>
      <c r="K13" s="613">
        <f t="shared" si="5"/>
        <v>0</v>
      </c>
      <c r="L13" s="613">
        <f t="shared" si="5"/>
        <v>0</v>
      </c>
      <c r="M13" s="613">
        <f t="shared" si="5"/>
        <v>0</v>
      </c>
      <c r="N13" s="510">
        <f t="shared" si="6"/>
        <v>0</v>
      </c>
      <c r="O13" s="656" t="s">
        <v>10</v>
      </c>
      <c r="P13" s="657" t="str">
        <f t="shared" ref="P13:R13" si="7">SUM(P9:P12)</f>
        <v>#DIV/0!</v>
      </c>
      <c r="Q13" s="657">
        <f t="shared" si="7"/>
        <v>0</v>
      </c>
      <c r="R13" s="657" t="str">
        <f t="shared" si="7"/>
        <v>#DIV/0!</v>
      </c>
      <c r="S13" s="260"/>
      <c r="T13" s="260"/>
      <c r="U13" s="260"/>
      <c r="V13" s="260"/>
      <c r="W13" s="260"/>
      <c r="X13" s="260"/>
      <c r="Y13" s="260"/>
      <c r="Z13" s="260"/>
    </row>
    <row r="14" ht="13.5" customHeight="1">
      <c r="A14" s="260"/>
      <c r="B14" s="260"/>
      <c r="C14" s="514"/>
      <c r="D14" s="515"/>
      <c r="E14" s="515"/>
      <c r="F14" s="515"/>
      <c r="G14" s="515"/>
      <c r="H14" s="515"/>
      <c r="I14" s="515"/>
      <c r="J14" s="515"/>
      <c r="K14" s="515"/>
      <c r="L14" s="515"/>
      <c r="M14" s="515"/>
      <c r="N14" s="516">
        <f>N13/60</f>
        <v>0</v>
      </c>
      <c r="O14" s="479"/>
      <c r="P14" s="515"/>
      <c r="Q14" s="515"/>
      <c r="R14" s="479"/>
      <c r="S14" s="260"/>
      <c r="T14" s="260"/>
      <c r="U14" s="260"/>
      <c r="V14" s="260"/>
      <c r="W14" s="260"/>
      <c r="X14" s="260"/>
      <c r="Y14" s="260"/>
      <c r="Z14" s="260"/>
    </row>
    <row r="15" ht="13.5" customHeight="1">
      <c r="A15" s="260"/>
      <c r="B15" s="260"/>
      <c r="C15" s="514"/>
      <c r="D15" s="515"/>
      <c r="E15" s="515"/>
      <c r="F15" s="515"/>
      <c r="G15" s="515" t="s">
        <v>137</v>
      </c>
      <c r="H15" s="515"/>
      <c r="I15" s="515"/>
      <c r="J15" s="515"/>
      <c r="K15" s="515"/>
      <c r="L15" s="515"/>
      <c r="M15" s="515"/>
      <c r="N15" s="517" t="s">
        <v>182</v>
      </c>
      <c r="O15" s="479"/>
      <c r="P15" s="515"/>
      <c r="Q15" s="515"/>
      <c r="R15" s="479"/>
      <c r="S15" s="260"/>
      <c r="T15" s="260"/>
      <c r="U15" s="260"/>
      <c r="V15" s="260"/>
      <c r="W15" s="260"/>
      <c r="X15" s="260"/>
      <c r="Y15" s="260"/>
      <c r="Z15" s="260"/>
    </row>
    <row r="16" ht="7.5" customHeight="1">
      <c r="A16" s="260"/>
      <c r="B16" s="260"/>
      <c r="C16" s="514"/>
      <c r="D16" s="515"/>
      <c r="E16" s="515"/>
      <c r="F16" s="515"/>
      <c r="G16" s="515"/>
      <c r="H16" s="515"/>
      <c r="I16" s="515"/>
      <c r="J16" s="515"/>
      <c r="K16" s="515"/>
      <c r="L16" s="515"/>
      <c r="M16" s="515"/>
      <c r="N16" s="516"/>
      <c r="O16" s="479"/>
      <c r="P16" s="515"/>
      <c r="Q16" s="515"/>
      <c r="R16" s="479"/>
      <c r="S16" s="260"/>
      <c r="T16" s="260"/>
      <c r="U16" s="260"/>
      <c r="V16" s="260"/>
      <c r="W16" s="260"/>
      <c r="X16" s="260"/>
      <c r="Y16" s="260"/>
      <c r="Z16" s="260"/>
    </row>
    <row r="17" ht="13.5" customHeight="1">
      <c r="A17" s="260"/>
      <c r="B17" s="260"/>
      <c r="C17" s="518" t="s">
        <v>417</v>
      </c>
      <c r="D17" s="522"/>
      <c r="E17" s="522"/>
      <c r="F17" s="522"/>
      <c r="G17" s="522"/>
      <c r="H17" s="522"/>
      <c r="I17" s="522"/>
      <c r="J17" s="522"/>
      <c r="K17" s="522"/>
      <c r="L17" s="522"/>
      <c r="M17" s="522"/>
      <c r="N17" s="520"/>
      <c r="O17" s="479"/>
      <c r="P17" s="479"/>
      <c r="Q17" s="521"/>
      <c r="R17" s="260"/>
      <c r="S17" s="260"/>
      <c r="T17" s="260"/>
      <c r="U17" s="260"/>
      <c r="V17" s="260"/>
      <c r="W17" s="260"/>
      <c r="X17" s="260"/>
      <c r="Y17" s="260"/>
      <c r="Z17" s="260"/>
    </row>
    <row r="18" ht="13.5" customHeight="1">
      <c r="A18" s="260"/>
      <c r="B18" s="260"/>
      <c r="C18" s="518" t="s">
        <v>294</v>
      </c>
      <c r="D18" s="522"/>
      <c r="E18" s="522"/>
      <c r="F18" s="522"/>
      <c r="G18" s="522"/>
      <c r="H18" s="522"/>
      <c r="I18" s="522"/>
      <c r="J18" s="522"/>
      <c r="K18" s="522"/>
      <c r="L18" s="522"/>
      <c r="M18" s="522"/>
      <c r="N18" s="520"/>
      <c r="O18" s="479"/>
      <c r="P18" s="479"/>
      <c r="Q18" s="521"/>
      <c r="R18" s="260"/>
      <c r="S18" s="260"/>
      <c r="T18" s="260"/>
      <c r="U18" s="260"/>
      <c r="V18" s="260"/>
      <c r="W18" s="260"/>
      <c r="X18" s="260"/>
      <c r="Y18" s="260"/>
      <c r="Z18" s="260"/>
    </row>
    <row r="19" ht="13.5" customHeight="1">
      <c r="A19" s="260"/>
      <c r="B19" s="260"/>
      <c r="C19" s="518" t="s">
        <v>187</v>
      </c>
      <c r="D19" s="522"/>
      <c r="E19" s="522"/>
      <c r="F19" s="522"/>
      <c r="G19" s="522"/>
      <c r="H19" s="522"/>
      <c r="I19" s="522"/>
      <c r="J19" s="522"/>
      <c r="K19" s="522"/>
      <c r="L19" s="522"/>
      <c r="M19" s="522"/>
      <c r="N19" s="520"/>
      <c r="O19" s="479"/>
      <c r="P19" s="479"/>
      <c r="Q19" s="521"/>
      <c r="R19" s="260"/>
      <c r="S19" s="260"/>
      <c r="T19" s="260"/>
      <c r="U19" s="260"/>
      <c r="V19" s="260"/>
      <c r="W19" s="260"/>
      <c r="X19" s="260"/>
      <c r="Y19" s="260"/>
      <c r="Z19" s="260"/>
    </row>
    <row r="20" ht="13.5" customHeight="1">
      <c r="A20" s="260"/>
      <c r="B20" s="260"/>
      <c r="C20" s="518" t="s">
        <v>474</v>
      </c>
      <c r="D20" s="522"/>
      <c r="E20" s="522"/>
      <c r="F20" s="522"/>
      <c r="G20" s="522"/>
      <c r="H20" s="522"/>
      <c r="I20" s="522"/>
      <c r="J20" s="522"/>
      <c r="K20" s="522"/>
      <c r="L20" s="522"/>
      <c r="M20" s="522"/>
      <c r="N20" s="520"/>
      <c r="O20" s="479"/>
      <c r="P20" s="479"/>
      <c r="Q20" s="521"/>
      <c r="R20" s="260"/>
      <c r="S20" s="260"/>
      <c r="T20" s="260"/>
      <c r="U20" s="260"/>
      <c r="V20" s="260"/>
      <c r="W20" s="260"/>
      <c r="X20" s="260"/>
      <c r="Y20" s="260"/>
      <c r="Z20" s="260"/>
    </row>
    <row r="21" ht="13.5" customHeight="1">
      <c r="A21" s="260"/>
      <c r="B21" s="260"/>
      <c r="C21" s="570" t="s">
        <v>243</v>
      </c>
      <c r="D21" s="658"/>
      <c r="E21" s="571"/>
      <c r="F21" s="658"/>
      <c r="G21" s="658"/>
      <c r="H21" s="571"/>
      <c r="I21" s="571"/>
      <c r="J21" s="571"/>
      <c r="K21" s="571"/>
      <c r="L21" s="571"/>
      <c r="M21" s="571"/>
      <c r="N21" s="520"/>
      <c r="O21" s="479"/>
      <c r="P21" s="479"/>
      <c r="Q21" s="521"/>
      <c r="R21" s="260"/>
      <c r="S21" s="260"/>
      <c r="T21" s="260"/>
      <c r="U21" s="260"/>
      <c r="V21" s="260"/>
      <c r="W21" s="260"/>
      <c r="X21" s="260"/>
      <c r="Y21" s="260"/>
      <c r="Z21" s="260"/>
    </row>
    <row r="22" ht="13.5" customHeight="1">
      <c r="A22" s="260"/>
      <c r="B22" s="260"/>
      <c r="C22" s="572" t="s">
        <v>304</v>
      </c>
      <c r="D22" s="659"/>
      <c r="E22" s="633"/>
      <c r="F22" s="633"/>
      <c r="G22" s="633"/>
      <c r="H22" s="633"/>
      <c r="I22" s="633"/>
      <c r="J22" s="633"/>
      <c r="K22" s="633"/>
      <c r="L22" s="633"/>
      <c r="M22" s="633"/>
      <c r="N22" s="520"/>
      <c r="O22" s="479"/>
      <c r="P22" s="479"/>
      <c r="Q22" s="521"/>
      <c r="R22" s="260"/>
      <c r="S22" s="260"/>
      <c r="T22" s="260"/>
      <c r="U22" s="260"/>
      <c r="V22" s="260"/>
      <c r="W22" s="260"/>
      <c r="X22" s="260"/>
      <c r="Y22" s="260"/>
      <c r="Z22" s="260"/>
    </row>
    <row r="23" ht="13.5" customHeight="1">
      <c r="A23" s="260"/>
      <c r="B23" s="260"/>
      <c r="C23" s="514"/>
      <c r="D23" s="479"/>
      <c r="E23" s="479"/>
      <c r="F23" s="479"/>
      <c r="G23" s="479"/>
      <c r="H23" s="479"/>
      <c r="I23" s="479"/>
      <c r="J23" s="479"/>
      <c r="K23" s="479"/>
      <c r="L23" s="479"/>
      <c r="M23" s="479"/>
      <c r="N23" s="520"/>
      <c r="O23" s="479"/>
      <c r="P23" s="479"/>
      <c r="Q23" s="521"/>
      <c r="R23" s="260"/>
      <c r="S23" s="260"/>
      <c r="T23" s="260"/>
      <c r="U23" s="260"/>
      <c r="V23" s="260"/>
      <c r="W23" s="260"/>
      <c r="X23" s="260"/>
      <c r="Y23" s="260"/>
      <c r="Z23" s="260"/>
    </row>
    <row r="24" ht="13.5" customHeight="1">
      <c r="A24" s="532"/>
      <c r="B24" s="532"/>
      <c r="C24" s="548" t="s">
        <v>422</v>
      </c>
      <c r="D24" s="532"/>
      <c r="E24" s="532"/>
      <c r="F24" s="532"/>
      <c r="G24" s="532"/>
      <c r="H24" s="532"/>
      <c r="I24" s="532"/>
      <c r="J24" s="532"/>
      <c r="K24" s="532"/>
      <c r="L24" s="532"/>
      <c r="M24" s="532"/>
      <c r="N24" s="534" t="s">
        <v>163</v>
      </c>
      <c r="O24" s="535"/>
      <c r="P24" s="535"/>
      <c r="Q24" s="535"/>
      <c r="R24" s="536"/>
      <c r="S24" s="536"/>
      <c r="T24" s="532"/>
      <c r="U24" s="532"/>
      <c r="V24" s="532"/>
      <c r="W24" s="532"/>
      <c r="X24" s="532"/>
      <c r="Y24" s="532"/>
      <c r="Z24" s="532"/>
    </row>
    <row r="25" ht="13.5" customHeight="1">
      <c r="A25" s="260"/>
      <c r="B25" s="260"/>
      <c r="C25" s="537" t="s">
        <v>192</v>
      </c>
      <c r="D25" s="538">
        <v>1.0</v>
      </c>
      <c r="E25" s="538">
        <v>1.0</v>
      </c>
      <c r="F25" s="538">
        <v>1.0</v>
      </c>
      <c r="G25" s="538">
        <v>1.0</v>
      </c>
      <c r="H25" s="538">
        <v>1.0</v>
      </c>
      <c r="I25" s="538">
        <v>1.0</v>
      </c>
      <c r="J25" s="538">
        <v>1.0</v>
      </c>
      <c r="K25" s="538">
        <v>1.0</v>
      </c>
      <c r="L25" s="538">
        <v>1.0</v>
      </c>
      <c r="M25" s="538">
        <v>1.0</v>
      </c>
      <c r="N25" s="538">
        <f t="shared" ref="N25:N28" si="9">AVERAGE(D25:M25)</f>
        <v>1</v>
      </c>
      <c r="O25" s="539"/>
      <c r="P25" s="540"/>
      <c r="T25" s="260"/>
      <c r="U25" s="260"/>
      <c r="V25" s="260"/>
      <c r="W25" s="260"/>
      <c r="X25" s="260"/>
      <c r="Y25" s="260"/>
      <c r="Z25" s="260"/>
    </row>
    <row r="26" ht="13.5" customHeight="1">
      <c r="A26" s="260"/>
      <c r="B26" s="260"/>
      <c r="C26" s="537" t="s">
        <v>193</v>
      </c>
      <c r="D26" s="500" t="str">
        <f t="shared" ref="D26:M26" si="8">D13/D17</f>
        <v>#DIV/0!</v>
      </c>
      <c r="E26" s="500" t="str">
        <f t="shared" si="8"/>
        <v>#DIV/0!</v>
      </c>
      <c r="F26" s="500" t="str">
        <f t="shared" si="8"/>
        <v>#DIV/0!</v>
      </c>
      <c r="G26" s="500" t="str">
        <f t="shared" si="8"/>
        <v>#DIV/0!</v>
      </c>
      <c r="H26" s="500" t="str">
        <f t="shared" si="8"/>
        <v>#DIV/0!</v>
      </c>
      <c r="I26" s="500" t="str">
        <f t="shared" si="8"/>
        <v>#DIV/0!</v>
      </c>
      <c r="J26" s="500" t="str">
        <f t="shared" si="8"/>
        <v>#DIV/0!</v>
      </c>
      <c r="K26" s="500" t="str">
        <f t="shared" si="8"/>
        <v>#DIV/0!</v>
      </c>
      <c r="L26" s="500" t="str">
        <f t="shared" si="8"/>
        <v>#DIV/0!</v>
      </c>
      <c r="M26" s="500" t="str">
        <f t="shared" si="8"/>
        <v>#DIV/0!</v>
      </c>
      <c r="N26" s="500" t="str">
        <f t="shared" si="9"/>
        <v>#DIV/0!</v>
      </c>
      <c r="O26" s="539"/>
      <c r="P26" s="542"/>
      <c r="Q26" s="540"/>
      <c r="R26" s="540"/>
      <c r="S26" s="540"/>
      <c r="T26" s="260"/>
      <c r="U26" s="260"/>
      <c r="V26" s="260"/>
      <c r="W26" s="260"/>
      <c r="X26" s="260"/>
      <c r="Y26" s="260"/>
      <c r="Z26" s="260"/>
    </row>
    <row r="27" ht="13.5" customHeight="1">
      <c r="A27" s="260"/>
      <c r="B27" s="260"/>
      <c r="C27" s="537" t="s">
        <v>194</v>
      </c>
      <c r="D27" s="500" t="str">
        <f t="shared" ref="D27:M27" si="10">D26*D25</f>
        <v>#DIV/0!</v>
      </c>
      <c r="E27" s="500" t="str">
        <f t="shared" si="10"/>
        <v>#DIV/0!</v>
      </c>
      <c r="F27" s="500" t="str">
        <f t="shared" si="10"/>
        <v>#DIV/0!</v>
      </c>
      <c r="G27" s="500" t="str">
        <f t="shared" si="10"/>
        <v>#DIV/0!</v>
      </c>
      <c r="H27" s="500" t="str">
        <f t="shared" si="10"/>
        <v>#DIV/0!</v>
      </c>
      <c r="I27" s="500" t="str">
        <f t="shared" si="10"/>
        <v>#DIV/0!</v>
      </c>
      <c r="J27" s="500" t="str">
        <f t="shared" si="10"/>
        <v>#DIV/0!</v>
      </c>
      <c r="K27" s="500" t="str">
        <f t="shared" si="10"/>
        <v>#DIV/0!</v>
      </c>
      <c r="L27" s="500" t="str">
        <f t="shared" si="10"/>
        <v>#DIV/0!</v>
      </c>
      <c r="M27" s="500" t="str">
        <f t="shared" si="10"/>
        <v>#DIV/0!</v>
      </c>
      <c r="N27" s="500" t="str">
        <f t="shared" si="9"/>
        <v>#DIV/0!</v>
      </c>
      <c r="O27" s="539"/>
      <c r="P27" s="542"/>
      <c r="Q27" s="540"/>
      <c r="R27" s="540"/>
      <c r="S27" s="540"/>
      <c r="T27" s="260"/>
      <c r="U27" s="260"/>
      <c r="V27" s="260"/>
      <c r="W27" s="260"/>
      <c r="X27" s="260"/>
      <c r="Y27" s="260"/>
      <c r="Z27" s="260"/>
    </row>
    <row r="28" ht="13.5" customHeight="1">
      <c r="A28" s="260"/>
      <c r="B28" s="260"/>
      <c r="C28" s="537" t="s">
        <v>195</v>
      </c>
      <c r="D28" s="500" t="str">
        <f t="shared" ref="D28:M28" si="11">D27*(1+0.05)</f>
        <v>#DIV/0!</v>
      </c>
      <c r="E28" s="500" t="str">
        <f t="shared" si="11"/>
        <v>#DIV/0!</v>
      </c>
      <c r="F28" s="500" t="str">
        <f t="shared" si="11"/>
        <v>#DIV/0!</v>
      </c>
      <c r="G28" s="500" t="str">
        <f t="shared" si="11"/>
        <v>#DIV/0!</v>
      </c>
      <c r="H28" s="500" t="str">
        <f t="shared" si="11"/>
        <v>#DIV/0!</v>
      </c>
      <c r="I28" s="500" t="str">
        <f t="shared" si="11"/>
        <v>#DIV/0!</v>
      </c>
      <c r="J28" s="500" t="str">
        <f t="shared" si="11"/>
        <v>#DIV/0!</v>
      </c>
      <c r="K28" s="500" t="str">
        <f t="shared" si="11"/>
        <v>#DIV/0!</v>
      </c>
      <c r="L28" s="500" t="str">
        <f t="shared" si="11"/>
        <v>#DIV/0!</v>
      </c>
      <c r="M28" s="500" t="str">
        <f t="shared" si="11"/>
        <v>#DIV/0!</v>
      </c>
      <c r="N28" s="500" t="str">
        <f t="shared" si="9"/>
        <v>#DIV/0!</v>
      </c>
      <c r="O28" s="543"/>
      <c r="P28" s="543"/>
      <c r="Q28" s="543"/>
      <c r="R28" s="543"/>
      <c r="S28" s="539"/>
      <c r="T28" s="260"/>
      <c r="U28" s="260"/>
      <c r="V28" s="260"/>
      <c r="W28" s="260"/>
      <c r="X28" s="260"/>
      <c r="Y28" s="260"/>
      <c r="Z28" s="260"/>
    </row>
    <row r="29" ht="13.5" customHeight="1">
      <c r="A29" s="260"/>
      <c r="B29" s="260"/>
      <c r="C29" s="544" t="s">
        <v>196</v>
      </c>
      <c r="D29" s="500"/>
      <c r="E29" s="500"/>
      <c r="F29" s="500"/>
      <c r="G29" s="500"/>
      <c r="H29" s="500"/>
      <c r="I29" s="500"/>
      <c r="J29" s="500"/>
      <c r="K29" s="500"/>
      <c r="L29" s="500"/>
      <c r="M29" s="500"/>
      <c r="N29" s="545" t="str">
        <f>3600/N28</f>
        <v>#DIV/0!</v>
      </c>
      <c r="O29" s="547"/>
      <c r="Q29" s="547"/>
      <c r="R29" s="547"/>
      <c r="S29" s="260"/>
      <c r="T29" s="260"/>
      <c r="U29" s="260"/>
      <c r="V29" s="260"/>
      <c r="W29" s="260"/>
      <c r="X29" s="260"/>
      <c r="Y29" s="260"/>
      <c r="Z29" s="260"/>
    </row>
    <row r="30" ht="13.5" customHeight="1">
      <c r="A30" s="260"/>
      <c r="B30" s="260"/>
      <c r="C30" s="260"/>
      <c r="D30" s="260"/>
      <c r="E30" s="260"/>
      <c r="F30" s="260"/>
      <c r="G30" s="260"/>
      <c r="H30" s="260"/>
      <c r="I30" s="260"/>
      <c r="J30" s="260"/>
      <c r="K30" s="260"/>
      <c r="L30" s="260"/>
      <c r="M30" s="260"/>
      <c r="N30" s="260"/>
      <c r="O30" s="547"/>
      <c r="Q30" s="547"/>
      <c r="R30" s="547"/>
      <c r="S30" s="260"/>
      <c r="T30" s="260"/>
      <c r="U30" s="260"/>
      <c r="V30" s="260"/>
      <c r="W30" s="260"/>
      <c r="X30" s="260"/>
      <c r="Y30" s="260"/>
      <c r="Z30" s="260"/>
    </row>
    <row r="31" ht="13.5" customHeight="1">
      <c r="A31" s="260"/>
      <c r="B31" s="260"/>
      <c r="C31" s="619" t="s">
        <v>357</v>
      </c>
      <c r="D31" s="521">
        <v>0.05</v>
      </c>
      <c r="E31" s="260"/>
      <c r="F31" s="260"/>
      <c r="G31" s="260"/>
      <c r="H31" s="260"/>
      <c r="I31" s="260"/>
      <c r="J31" s="260"/>
      <c r="K31" s="260"/>
      <c r="L31" s="260"/>
      <c r="M31" s="260"/>
      <c r="N31" s="260"/>
      <c r="O31" s="617"/>
      <c r="P31" s="617"/>
      <c r="Q31" s="617"/>
      <c r="R31" s="617"/>
      <c r="S31" s="260"/>
      <c r="T31" s="260"/>
      <c r="U31" s="260"/>
      <c r="V31" s="260"/>
      <c r="W31" s="260"/>
      <c r="X31" s="260"/>
      <c r="Y31" s="260"/>
      <c r="Z31" s="260"/>
    </row>
    <row r="32" ht="13.5" customHeight="1">
      <c r="A32" s="260"/>
      <c r="B32" s="260"/>
      <c r="C32" s="619" t="s">
        <v>358</v>
      </c>
      <c r="D32" s="338" t="s">
        <v>359</v>
      </c>
      <c r="E32" s="260"/>
      <c r="F32" s="260"/>
      <c r="G32" s="260"/>
      <c r="H32" s="260"/>
      <c r="I32" s="260"/>
      <c r="J32" s="260"/>
      <c r="K32" s="260"/>
      <c r="L32" s="260"/>
      <c r="M32" s="260"/>
      <c r="N32" s="260"/>
      <c r="O32" s="260"/>
      <c r="P32" s="260"/>
      <c r="Q32" s="260"/>
      <c r="R32" s="260"/>
      <c r="S32" s="260"/>
      <c r="T32" s="260"/>
      <c r="U32" s="260"/>
      <c r="V32" s="260"/>
      <c r="W32" s="260"/>
      <c r="X32" s="260"/>
      <c r="Y32" s="260"/>
      <c r="Z32" s="260"/>
    </row>
    <row r="33" ht="13.5" customHeight="1">
      <c r="A33" s="260"/>
      <c r="B33" s="260"/>
      <c r="C33" s="260"/>
      <c r="D33" s="338"/>
      <c r="E33" s="260"/>
      <c r="F33" s="260"/>
      <c r="G33" s="260"/>
      <c r="H33" s="260"/>
      <c r="I33" s="260"/>
      <c r="J33" s="260"/>
      <c r="K33" s="260"/>
      <c r="L33" s="260"/>
      <c r="M33" s="260"/>
      <c r="N33" s="260"/>
      <c r="O33" s="260"/>
      <c r="P33" s="260"/>
      <c r="Q33" s="260"/>
      <c r="R33" s="260"/>
      <c r="S33" s="260"/>
      <c r="T33" s="260"/>
      <c r="U33" s="260"/>
      <c r="V33" s="260"/>
      <c r="W33" s="260"/>
      <c r="X33" s="260"/>
      <c r="Y33" s="260"/>
      <c r="Z33" s="260"/>
    </row>
    <row r="34" ht="13.5" customHeight="1">
      <c r="A34" s="260"/>
      <c r="B34" s="260"/>
      <c r="C34" s="635"/>
      <c r="D34" s="260"/>
      <c r="E34" s="260"/>
      <c r="F34" s="260"/>
      <c r="G34" s="260"/>
      <c r="H34" s="260"/>
      <c r="I34" s="260"/>
      <c r="J34" s="260"/>
      <c r="K34" s="260"/>
      <c r="L34" s="260"/>
      <c r="M34" s="260"/>
      <c r="N34" s="260"/>
      <c r="O34" s="260"/>
      <c r="P34" s="260"/>
      <c r="Q34" s="260"/>
      <c r="R34" s="260"/>
      <c r="S34" s="260"/>
      <c r="T34" s="260"/>
      <c r="U34" s="260"/>
      <c r="V34" s="260"/>
      <c r="W34" s="260"/>
      <c r="X34" s="260"/>
      <c r="Y34" s="260"/>
      <c r="Z34" s="260"/>
    </row>
    <row r="35" ht="13.5" customHeight="1">
      <c r="A35" s="260"/>
      <c r="B35" s="260"/>
      <c r="C35" s="260"/>
      <c r="D35" s="260"/>
      <c r="E35" s="260"/>
      <c r="F35" s="260"/>
      <c r="G35" s="260"/>
      <c r="H35" s="260"/>
      <c r="I35" s="260"/>
      <c r="J35" s="260"/>
      <c r="K35" s="260"/>
      <c r="L35" s="260"/>
      <c r="M35" s="260"/>
      <c r="N35" s="260"/>
      <c r="O35" s="260"/>
      <c r="P35" s="260"/>
      <c r="Q35" s="260"/>
      <c r="R35" s="260"/>
      <c r="S35" s="260"/>
      <c r="T35" s="260"/>
      <c r="U35" s="260"/>
      <c r="V35" s="260"/>
      <c r="W35" s="260"/>
      <c r="X35" s="260"/>
      <c r="Y35" s="260"/>
      <c r="Z35" s="260"/>
    </row>
    <row r="36" ht="13.5" customHeight="1">
      <c r="A36" s="260"/>
      <c r="B36" s="260"/>
      <c r="C36" s="260"/>
      <c r="D36" s="636"/>
      <c r="E36" s="260"/>
      <c r="F36" s="260"/>
      <c r="G36" s="260"/>
      <c r="H36" s="260"/>
      <c r="I36" s="260"/>
      <c r="J36" s="260"/>
      <c r="K36" s="260"/>
      <c r="L36" s="260"/>
      <c r="M36" s="260"/>
      <c r="N36" s="260"/>
      <c r="O36" s="260"/>
      <c r="P36" s="260"/>
      <c r="Q36" s="260"/>
      <c r="R36" s="260"/>
      <c r="S36" s="260"/>
      <c r="T36" s="260"/>
      <c r="U36" s="260"/>
      <c r="V36" s="260"/>
      <c r="W36" s="260"/>
      <c r="X36" s="260"/>
      <c r="Y36" s="260"/>
      <c r="Z36" s="260"/>
    </row>
    <row r="37" ht="13.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row>
    <row r="38" ht="13.5" customHeight="1">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row>
    <row r="39" ht="13.5" customHeight="1">
      <c r="A39" s="260"/>
      <c r="B39" s="260"/>
      <c r="C39" s="260"/>
      <c r="D39" s="260"/>
      <c r="E39" s="260"/>
      <c r="F39" s="260"/>
      <c r="G39" s="260"/>
      <c r="H39" s="260"/>
      <c r="I39" s="260"/>
      <c r="J39" s="260"/>
      <c r="K39" s="260"/>
      <c r="L39" s="260"/>
      <c r="M39" s="260"/>
      <c r="N39" s="260"/>
      <c r="O39" s="260"/>
      <c r="P39" s="260"/>
      <c r="Q39" s="260"/>
      <c r="R39" s="260"/>
      <c r="S39" s="260"/>
      <c r="T39" s="260"/>
      <c r="U39" s="260"/>
      <c r="V39" s="260"/>
      <c r="W39" s="260"/>
      <c r="X39" s="260"/>
      <c r="Y39" s="260"/>
      <c r="Z39" s="260"/>
    </row>
    <row r="40" ht="13.5" customHeight="1">
      <c r="A40" s="260"/>
      <c r="B40" s="260"/>
      <c r="C40" s="260"/>
      <c r="D40" s="260"/>
      <c r="E40" s="260"/>
      <c r="F40" s="260"/>
      <c r="G40" s="260"/>
      <c r="H40" s="260"/>
      <c r="I40" s="260"/>
      <c r="J40" s="260"/>
      <c r="K40" s="260"/>
      <c r="L40" s="260"/>
      <c r="M40" s="260"/>
      <c r="N40" s="260"/>
      <c r="O40" s="260"/>
      <c r="P40" s="260"/>
      <c r="Q40" s="260"/>
      <c r="R40" s="260"/>
      <c r="S40" s="260"/>
      <c r="T40" s="260"/>
      <c r="U40" s="260"/>
      <c r="V40" s="260"/>
      <c r="W40" s="260"/>
      <c r="X40" s="260"/>
      <c r="Y40" s="260"/>
      <c r="Z40" s="260"/>
    </row>
    <row r="41" ht="13.5" customHeight="1">
      <c r="A41" s="260"/>
      <c r="B41" s="260"/>
      <c r="C41" s="260"/>
      <c r="D41" s="260"/>
      <c r="E41" s="260"/>
      <c r="F41" s="260"/>
      <c r="G41" s="260"/>
      <c r="H41" s="260"/>
      <c r="I41" s="260"/>
      <c r="J41" s="260"/>
      <c r="K41" s="260"/>
      <c r="L41" s="260"/>
      <c r="M41" s="260"/>
      <c r="N41" s="260"/>
      <c r="O41" s="260"/>
      <c r="P41" s="260"/>
      <c r="Q41" s="260"/>
      <c r="R41" s="260"/>
      <c r="S41" s="260"/>
      <c r="T41" s="260"/>
      <c r="U41" s="260"/>
      <c r="V41" s="260"/>
      <c r="W41" s="260"/>
      <c r="X41" s="260"/>
      <c r="Y41" s="260"/>
      <c r="Z41" s="260"/>
    </row>
    <row r="42" ht="13.5" customHeight="1">
      <c r="A42" s="260"/>
      <c r="B42" s="260"/>
      <c r="C42" s="260"/>
      <c r="D42" s="260"/>
      <c r="E42" s="260"/>
      <c r="F42" s="260"/>
      <c r="G42" s="260"/>
      <c r="H42" s="260"/>
      <c r="I42" s="260"/>
      <c r="J42" s="260"/>
      <c r="K42" s="260"/>
      <c r="L42" s="260"/>
      <c r="M42" s="260"/>
      <c r="N42" s="260"/>
      <c r="O42" s="260"/>
      <c r="P42" s="260"/>
      <c r="Q42" s="260"/>
      <c r="R42" s="260"/>
      <c r="S42" s="260"/>
      <c r="T42" s="260"/>
      <c r="U42" s="260"/>
      <c r="V42" s="260"/>
      <c r="W42" s="260"/>
      <c r="X42" s="260"/>
      <c r="Y42" s="260"/>
      <c r="Z42" s="260"/>
    </row>
    <row r="43" ht="13.5" customHeight="1">
      <c r="A43" s="260"/>
      <c r="B43" s="260"/>
      <c r="C43" s="260"/>
      <c r="D43" s="260"/>
      <c r="E43" s="260"/>
      <c r="F43" s="260"/>
      <c r="G43" s="260"/>
      <c r="H43" s="260"/>
      <c r="I43" s="260"/>
      <c r="J43" s="260"/>
      <c r="K43" s="260"/>
      <c r="L43" s="260"/>
      <c r="M43" s="260"/>
      <c r="N43" s="260"/>
      <c r="O43" s="260"/>
      <c r="P43" s="260"/>
      <c r="Q43" s="260"/>
      <c r="R43" s="260"/>
      <c r="S43" s="260"/>
      <c r="T43" s="260"/>
      <c r="U43" s="260"/>
      <c r="V43" s="260"/>
      <c r="W43" s="260"/>
      <c r="X43" s="260"/>
      <c r="Y43" s="260"/>
      <c r="Z43" s="260"/>
    </row>
    <row r="44" ht="13.5" customHeight="1">
      <c r="A44" s="260"/>
      <c r="B44" s="260"/>
      <c r="C44" s="260"/>
      <c r="D44" s="260"/>
      <c r="E44" s="260"/>
      <c r="F44" s="260"/>
      <c r="G44" s="260"/>
      <c r="H44" s="260"/>
      <c r="I44" s="260"/>
      <c r="J44" s="260"/>
      <c r="K44" s="260"/>
      <c r="L44" s="260"/>
      <c r="M44" s="260"/>
      <c r="N44" s="260"/>
      <c r="O44" s="260"/>
      <c r="P44" s="260"/>
      <c r="Q44" s="260"/>
      <c r="R44" s="260"/>
      <c r="S44" s="260"/>
      <c r="T44" s="260"/>
      <c r="U44" s="260"/>
      <c r="V44" s="260"/>
      <c r="W44" s="260"/>
      <c r="X44" s="260"/>
      <c r="Y44" s="260"/>
      <c r="Z44" s="260"/>
    </row>
    <row r="45" ht="13.5" customHeight="1">
      <c r="A45" s="260"/>
      <c r="B45" s="260"/>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row>
    <row r="46" ht="13.5" customHeight="1">
      <c r="A46" s="260"/>
      <c r="B46" s="260"/>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row>
    <row r="47" ht="13.5" customHeight="1">
      <c r="A47" s="260"/>
      <c r="B47" s="260"/>
      <c r="C47" s="260"/>
      <c r="D47" s="260"/>
      <c r="E47" s="260"/>
      <c r="F47" s="260"/>
      <c r="G47" s="260"/>
      <c r="H47" s="260"/>
      <c r="I47" s="260"/>
      <c r="J47" s="260"/>
      <c r="K47" s="260"/>
      <c r="L47" s="260"/>
      <c r="M47" s="260"/>
      <c r="N47" s="260"/>
      <c r="O47" s="260"/>
      <c r="P47" s="260"/>
      <c r="Q47" s="260"/>
      <c r="R47" s="260"/>
      <c r="S47" s="260"/>
      <c r="T47" s="260"/>
      <c r="U47" s="260"/>
      <c r="V47" s="260"/>
      <c r="W47" s="260"/>
      <c r="X47" s="260"/>
      <c r="Y47" s="260"/>
      <c r="Z47" s="260"/>
    </row>
    <row r="48" ht="13.5" customHeight="1">
      <c r="A48" s="260"/>
      <c r="B48" s="260"/>
      <c r="C48" s="260"/>
      <c r="D48" s="260"/>
      <c r="E48" s="260"/>
      <c r="F48" s="260"/>
      <c r="G48" s="260"/>
      <c r="H48" s="260"/>
      <c r="I48" s="260"/>
      <c r="J48" s="260"/>
      <c r="K48" s="260"/>
      <c r="L48" s="260"/>
      <c r="M48" s="260"/>
      <c r="N48" s="260"/>
      <c r="O48" s="260"/>
      <c r="P48" s="260"/>
      <c r="Q48" s="260"/>
      <c r="R48" s="260"/>
      <c r="S48" s="260"/>
      <c r="T48" s="260"/>
      <c r="U48" s="260"/>
      <c r="V48" s="260"/>
      <c r="W48" s="260"/>
      <c r="X48" s="260"/>
      <c r="Y48" s="260"/>
      <c r="Z48" s="260"/>
    </row>
    <row r="49" ht="13.5" customHeight="1">
      <c r="A49" s="260"/>
      <c r="B49" s="260"/>
      <c r="C49" s="260"/>
      <c r="D49" s="260"/>
      <c r="E49" s="260"/>
      <c r="F49" s="260"/>
      <c r="G49" s="260"/>
      <c r="H49" s="260"/>
      <c r="I49" s="260"/>
      <c r="J49" s="260"/>
      <c r="K49" s="260"/>
      <c r="L49" s="260"/>
      <c r="M49" s="260"/>
      <c r="N49" s="260"/>
      <c r="O49" s="260"/>
      <c r="P49" s="260"/>
      <c r="Q49" s="260"/>
      <c r="R49" s="260"/>
      <c r="S49" s="260"/>
      <c r="T49" s="260"/>
      <c r="U49" s="260"/>
      <c r="V49" s="260"/>
      <c r="W49" s="260"/>
      <c r="X49" s="260"/>
      <c r="Y49" s="260"/>
      <c r="Z49" s="260"/>
    </row>
    <row r="50" ht="13.5" customHeight="1">
      <c r="A50" s="260"/>
      <c r="B50" s="260"/>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row>
    <row r="51" ht="13.5" customHeight="1">
      <c r="A51" s="260"/>
      <c r="B51" s="260"/>
      <c r="C51" s="260"/>
      <c r="D51" s="260"/>
      <c r="E51" s="260"/>
      <c r="F51" s="260"/>
      <c r="G51" s="260"/>
      <c r="H51" s="260"/>
      <c r="I51" s="260"/>
      <c r="J51" s="260"/>
      <c r="K51" s="260"/>
      <c r="L51" s="260"/>
      <c r="M51" s="260"/>
      <c r="N51" s="260"/>
      <c r="O51" s="260"/>
      <c r="P51" s="260"/>
      <c r="Q51" s="260"/>
      <c r="R51" s="260"/>
      <c r="S51" s="260"/>
      <c r="T51" s="260"/>
      <c r="U51" s="260"/>
      <c r="V51" s="260"/>
      <c r="W51" s="260"/>
      <c r="X51" s="260"/>
      <c r="Y51" s="260"/>
      <c r="Z51" s="260"/>
    </row>
    <row r="52" ht="13.5" customHeight="1">
      <c r="A52" s="260"/>
      <c r="B52" s="260"/>
      <c r="C52" s="260"/>
      <c r="D52" s="260"/>
      <c r="E52" s="260"/>
      <c r="F52" s="260"/>
      <c r="G52" s="260"/>
      <c r="H52" s="260"/>
      <c r="I52" s="260"/>
      <c r="J52" s="260"/>
      <c r="K52" s="260"/>
      <c r="L52" s="260"/>
      <c r="M52" s="260"/>
      <c r="N52" s="260"/>
      <c r="O52" s="260"/>
      <c r="P52" s="260"/>
      <c r="Q52" s="260"/>
      <c r="R52" s="260"/>
      <c r="S52" s="260"/>
      <c r="T52" s="260"/>
      <c r="U52" s="260"/>
      <c r="V52" s="260"/>
      <c r="W52" s="260"/>
      <c r="X52" s="260"/>
      <c r="Y52" s="260"/>
      <c r="Z52" s="260"/>
    </row>
    <row r="53" ht="13.5" customHeight="1">
      <c r="A53" s="260"/>
      <c r="B53" s="260"/>
      <c r="C53" s="260"/>
      <c r="D53" s="260"/>
      <c r="E53" s="260"/>
      <c r="F53" s="260"/>
      <c r="G53" s="260"/>
      <c r="H53" s="260"/>
      <c r="I53" s="260"/>
      <c r="J53" s="260"/>
      <c r="K53" s="260"/>
      <c r="L53" s="260"/>
      <c r="M53" s="260"/>
      <c r="N53" s="260"/>
      <c r="O53" s="260"/>
      <c r="P53" s="260"/>
      <c r="Q53" s="260"/>
      <c r="R53" s="260"/>
      <c r="S53" s="260"/>
      <c r="T53" s="260"/>
      <c r="U53" s="260"/>
      <c r="V53" s="260"/>
      <c r="W53" s="260"/>
      <c r="X53" s="260"/>
      <c r="Y53" s="260"/>
      <c r="Z53" s="260"/>
    </row>
    <row r="54" ht="13.5" customHeight="1">
      <c r="A54" s="260"/>
      <c r="B54" s="260"/>
      <c r="C54" s="260"/>
      <c r="D54" s="260"/>
      <c r="E54" s="260"/>
      <c r="F54" s="260"/>
      <c r="G54" s="260"/>
      <c r="H54" s="260"/>
      <c r="I54" s="260"/>
      <c r="J54" s="260"/>
      <c r="K54" s="260"/>
      <c r="L54" s="260"/>
      <c r="M54" s="260"/>
      <c r="N54" s="260"/>
      <c r="O54" s="260"/>
      <c r="P54" s="260"/>
      <c r="Q54" s="260"/>
      <c r="R54" s="260"/>
      <c r="S54" s="260"/>
      <c r="T54" s="260"/>
      <c r="U54" s="260"/>
      <c r="V54" s="260"/>
      <c r="W54" s="260"/>
      <c r="X54" s="260"/>
      <c r="Y54" s="260"/>
      <c r="Z54" s="260"/>
    </row>
    <row r="55" ht="13.5" customHeight="1">
      <c r="A55" s="260"/>
      <c r="B55" s="260"/>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row>
    <row r="56" ht="13.5" customHeight="1">
      <c r="A56" s="260"/>
      <c r="B56" s="260"/>
      <c r="C56" s="260"/>
      <c r="D56" s="260"/>
      <c r="E56" s="260"/>
      <c r="F56" s="260"/>
      <c r="G56" s="260"/>
      <c r="H56" s="260"/>
      <c r="I56" s="260"/>
      <c r="J56" s="260"/>
      <c r="K56" s="260"/>
      <c r="L56" s="260"/>
      <c r="M56" s="260"/>
      <c r="N56" s="260"/>
      <c r="O56" s="260"/>
      <c r="P56" s="260"/>
      <c r="Q56" s="260"/>
      <c r="R56" s="260"/>
      <c r="S56" s="260"/>
      <c r="T56" s="260"/>
      <c r="U56" s="260"/>
      <c r="V56" s="260"/>
      <c r="W56" s="260"/>
      <c r="X56" s="260"/>
      <c r="Y56" s="260"/>
      <c r="Z56" s="260"/>
    </row>
    <row r="57" ht="13.5" customHeight="1">
      <c r="A57" s="260"/>
      <c r="B57" s="260"/>
      <c r="C57" s="260"/>
      <c r="D57" s="260"/>
      <c r="E57" s="260"/>
      <c r="F57" s="260"/>
      <c r="G57" s="260"/>
      <c r="H57" s="260"/>
      <c r="I57" s="260"/>
      <c r="J57" s="260"/>
      <c r="K57" s="260"/>
      <c r="L57" s="260"/>
      <c r="M57" s="260"/>
      <c r="N57" s="260"/>
      <c r="O57" s="260"/>
      <c r="P57" s="260"/>
      <c r="Q57" s="260"/>
      <c r="R57" s="260"/>
      <c r="S57" s="260"/>
      <c r="T57" s="260"/>
      <c r="U57" s="260"/>
      <c r="V57" s="260"/>
      <c r="W57" s="260"/>
      <c r="X57" s="260"/>
      <c r="Y57" s="260"/>
      <c r="Z57" s="260"/>
    </row>
    <row r="58" ht="13.5" customHeight="1">
      <c r="A58" s="260"/>
      <c r="B58" s="260"/>
      <c r="C58" s="260"/>
      <c r="D58" s="260"/>
      <c r="E58" s="260"/>
      <c r="F58" s="260"/>
      <c r="G58" s="260"/>
      <c r="H58" s="260"/>
      <c r="I58" s="260"/>
      <c r="J58" s="260"/>
      <c r="K58" s="260"/>
      <c r="L58" s="260"/>
      <c r="M58" s="260"/>
      <c r="N58" s="260"/>
      <c r="O58" s="260"/>
      <c r="P58" s="260"/>
      <c r="Q58" s="260"/>
      <c r="R58" s="260"/>
      <c r="S58" s="260"/>
      <c r="T58" s="260"/>
      <c r="U58" s="260"/>
      <c r="V58" s="260"/>
      <c r="W58" s="260"/>
      <c r="X58" s="260"/>
      <c r="Y58" s="260"/>
      <c r="Z58" s="260"/>
    </row>
    <row r="59" ht="13.5" customHeight="1">
      <c r="A59" s="260"/>
      <c r="B59" s="260"/>
      <c r="C59" s="260"/>
      <c r="D59" s="260"/>
      <c r="E59" s="260"/>
      <c r="F59" s="260"/>
      <c r="G59" s="260"/>
      <c r="H59" s="260"/>
      <c r="I59" s="260"/>
      <c r="J59" s="260"/>
      <c r="K59" s="260"/>
      <c r="L59" s="260"/>
      <c r="M59" s="260"/>
      <c r="N59" s="260"/>
      <c r="O59" s="260"/>
      <c r="P59" s="260"/>
      <c r="Q59" s="260"/>
      <c r="R59" s="260"/>
      <c r="S59" s="260"/>
      <c r="T59" s="260"/>
      <c r="U59" s="260"/>
      <c r="V59" s="260"/>
      <c r="W59" s="260"/>
      <c r="X59" s="260"/>
      <c r="Y59" s="260"/>
      <c r="Z59" s="260"/>
    </row>
    <row r="60" ht="13.5" customHeight="1">
      <c r="A60" s="260"/>
      <c r="B60" s="260"/>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row>
    <row r="61" ht="13.5" customHeight="1">
      <c r="A61" s="260"/>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row>
    <row r="62" ht="13.5" customHeight="1">
      <c r="A62" s="260"/>
      <c r="B62" s="260"/>
      <c r="C62" s="260"/>
      <c r="D62" s="260"/>
      <c r="E62" s="260"/>
      <c r="F62" s="260"/>
      <c r="G62" s="260"/>
      <c r="H62" s="260"/>
      <c r="I62" s="260"/>
      <c r="J62" s="260"/>
      <c r="K62" s="260"/>
      <c r="L62" s="260"/>
      <c r="M62" s="260"/>
      <c r="N62" s="260"/>
      <c r="O62" s="260"/>
      <c r="P62" s="260"/>
      <c r="Q62" s="260"/>
      <c r="R62" s="260"/>
      <c r="S62" s="260"/>
      <c r="T62" s="260"/>
      <c r="U62" s="260"/>
      <c r="V62" s="260"/>
      <c r="W62" s="260"/>
      <c r="X62" s="260"/>
      <c r="Y62" s="260"/>
      <c r="Z62" s="260"/>
    </row>
    <row r="63" ht="13.5" customHeight="1">
      <c r="A63" s="260"/>
      <c r="B63" s="260"/>
      <c r="C63" s="260"/>
      <c r="D63" s="260"/>
      <c r="E63" s="260"/>
      <c r="F63" s="260"/>
      <c r="G63" s="260"/>
      <c r="H63" s="260"/>
      <c r="I63" s="260"/>
      <c r="J63" s="260"/>
      <c r="K63" s="260"/>
      <c r="L63" s="260"/>
      <c r="M63" s="260"/>
      <c r="N63" s="260"/>
      <c r="O63" s="260"/>
      <c r="P63" s="260"/>
      <c r="Q63" s="260"/>
      <c r="R63" s="260"/>
      <c r="S63" s="260"/>
      <c r="T63" s="260"/>
      <c r="U63" s="260"/>
      <c r="V63" s="260"/>
      <c r="W63" s="260"/>
      <c r="X63" s="260"/>
      <c r="Y63" s="260"/>
      <c r="Z63" s="260"/>
    </row>
    <row r="64" ht="13.5" customHeight="1">
      <c r="A64" s="260"/>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row>
    <row r="65" ht="13.5" customHeight="1">
      <c r="A65" s="260"/>
      <c r="B65" s="260"/>
      <c r="C65" s="260"/>
      <c r="D65" s="260"/>
      <c r="E65" s="260"/>
      <c r="F65" s="260"/>
      <c r="G65" s="260"/>
      <c r="H65" s="260"/>
      <c r="I65" s="260"/>
      <c r="J65" s="260"/>
      <c r="K65" s="260"/>
      <c r="L65" s="260"/>
      <c r="M65" s="260"/>
      <c r="N65" s="260"/>
      <c r="O65" s="260"/>
      <c r="P65" s="260"/>
      <c r="Q65" s="260"/>
      <c r="R65" s="260"/>
      <c r="S65" s="260"/>
      <c r="T65" s="260"/>
      <c r="U65" s="260"/>
      <c r="V65" s="260"/>
      <c r="W65" s="260"/>
      <c r="X65" s="260"/>
      <c r="Y65" s="260"/>
      <c r="Z65" s="260"/>
    </row>
    <row r="66" ht="13.5" customHeight="1">
      <c r="A66" s="260"/>
      <c r="B66" s="260"/>
      <c r="C66" s="260"/>
      <c r="D66" s="260"/>
      <c r="E66" s="260"/>
      <c r="F66" s="260"/>
      <c r="G66" s="260"/>
      <c r="H66" s="260"/>
      <c r="I66" s="260"/>
      <c r="J66" s="260"/>
      <c r="K66" s="260"/>
      <c r="L66" s="260"/>
      <c r="M66" s="260"/>
      <c r="N66" s="260"/>
      <c r="O66" s="260"/>
      <c r="P66" s="260"/>
      <c r="Q66" s="260"/>
      <c r="R66" s="260"/>
      <c r="S66" s="260"/>
      <c r="T66" s="260"/>
      <c r="U66" s="260"/>
      <c r="V66" s="260"/>
      <c r="W66" s="260"/>
      <c r="X66" s="260"/>
      <c r="Y66" s="260"/>
      <c r="Z66" s="260"/>
    </row>
    <row r="67" ht="13.5" customHeight="1">
      <c r="A67" s="260"/>
      <c r="B67" s="260"/>
      <c r="C67" s="260"/>
      <c r="D67" s="260"/>
      <c r="E67" s="260"/>
      <c r="F67" s="260"/>
      <c r="G67" s="260"/>
      <c r="H67" s="260"/>
      <c r="I67" s="260"/>
      <c r="J67" s="260"/>
      <c r="K67" s="260"/>
      <c r="L67" s="260"/>
      <c r="M67" s="260"/>
      <c r="N67" s="260"/>
      <c r="O67" s="260"/>
      <c r="P67" s="260"/>
      <c r="Q67" s="260"/>
      <c r="R67" s="260"/>
      <c r="S67" s="260"/>
      <c r="T67" s="260"/>
      <c r="U67" s="260"/>
      <c r="V67" s="260"/>
      <c r="W67" s="260"/>
      <c r="X67" s="260"/>
      <c r="Y67" s="260"/>
      <c r="Z67" s="260"/>
    </row>
    <row r="68" ht="13.5" customHeight="1">
      <c r="A68" s="260"/>
      <c r="B68" s="260"/>
      <c r="C68" s="260"/>
      <c r="D68" s="260"/>
      <c r="E68" s="260"/>
      <c r="F68" s="260"/>
      <c r="G68" s="260"/>
      <c r="H68" s="260"/>
      <c r="I68" s="260"/>
      <c r="J68" s="260"/>
      <c r="K68" s="260"/>
      <c r="L68" s="260"/>
      <c r="M68" s="260"/>
      <c r="N68" s="260"/>
      <c r="O68" s="260"/>
      <c r="P68" s="260"/>
      <c r="Q68" s="260"/>
      <c r="R68" s="260"/>
      <c r="S68" s="260"/>
      <c r="T68" s="260"/>
      <c r="U68" s="260"/>
      <c r="V68" s="260"/>
      <c r="W68" s="260"/>
      <c r="X68" s="260"/>
      <c r="Y68" s="260"/>
      <c r="Z68" s="260"/>
    </row>
    <row r="69" ht="13.5" customHeight="1">
      <c r="A69" s="260"/>
      <c r="B69" s="260"/>
      <c r="C69" s="260"/>
      <c r="D69" s="260"/>
      <c r="E69" s="260"/>
      <c r="F69" s="260"/>
      <c r="G69" s="260"/>
      <c r="H69" s="260"/>
      <c r="I69" s="260"/>
      <c r="J69" s="260"/>
      <c r="K69" s="260"/>
      <c r="L69" s="260"/>
      <c r="M69" s="260"/>
      <c r="N69" s="260"/>
      <c r="O69" s="260"/>
      <c r="P69" s="260"/>
      <c r="Q69" s="260"/>
      <c r="R69" s="260"/>
      <c r="S69" s="260"/>
      <c r="T69" s="260"/>
      <c r="U69" s="260"/>
      <c r="V69" s="260"/>
      <c r="W69" s="260"/>
      <c r="X69" s="260"/>
      <c r="Y69" s="260"/>
      <c r="Z69" s="260"/>
    </row>
    <row r="70" ht="13.5" customHeight="1">
      <c r="A70" s="260"/>
      <c r="B70" s="260"/>
      <c r="C70" s="260"/>
      <c r="D70" s="260"/>
      <c r="E70" s="260"/>
      <c r="F70" s="260"/>
      <c r="G70" s="260"/>
      <c r="H70" s="260"/>
      <c r="I70" s="260"/>
      <c r="J70" s="260"/>
      <c r="K70" s="260"/>
      <c r="L70" s="260"/>
      <c r="M70" s="260"/>
      <c r="N70" s="260"/>
      <c r="O70" s="260"/>
      <c r="P70" s="260"/>
      <c r="Q70" s="260"/>
      <c r="R70" s="260"/>
      <c r="S70" s="260"/>
      <c r="T70" s="260"/>
      <c r="U70" s="260"/>
      <c r="V70" s="260"/>
      <c r="W70" s="260"/>
      <c r="X70" s="260"/>
      <c r="Y70" s="260"/>
      <c r="Z70" s="260"/>
    </row>
    <row r="71" ht="13.5" customHeight="1">
      <c r="A71" s="260"/>
      <c r="B71" s="260"/>
      <c r="C71" s="260"/>
      <c r="D71" s="260"/>
      <c r="E71" s="260"/>
      <c r="F71" s="260"/>
      <c r="G71" s="260"/>
      <c r="H71" s="260"/>
      <c r="I71" s="260"/>
      <c r="J71" s="260"/>
      <c r="K71" s="260"/>
      <c r="L71" s="260"/>
      <c r="M71" s="260"/>
      <c r="N71" s="260"/>
      <c r="O71" s="260"/>
      <c r="P71" s="260"/>
      <c r="Q71" s="260"/>
      <c r="R71" s="260"/>
      <c r="S71" s="260"/>
      <c r="T71" s="260"/>
      <c r="U71" s="260"/>
      <c r="V71" s="260"/>
      <c r="W71" s="260"/>
      <c r="X71" s="260"/>
      <c r="Y71" s="260"/>
      <c r="Z71" s="260"/>
    </row>
    <row r="72" ht="13.5" customHeight="1">
      <c r="A72" s="260"/>
      <c r="B72" s="260"/>
      <c r="C72" s="260"/>
      <c r="D72" s="260"/>
      <c r="E72" s="260"/>
      <c r="F72" s="260"/>
      <c r="G72" s="260"/>
      <c r="H72" s="260"/>
      <c r="I72" s="260"/>
      <c r="J72" s="260"/>
      <c r="K72" s="260"/>
      <c r="L72" s="260"/>
      <c r="M72" s="260"/>
      <c r="N72" s="260"/>
      <c r="O72" s="260"/>
      <c r="P72" s="260"/>
      <c r="Q72" s="260"/>
      <c r="R72" s="260"/>
      <c r="S72" s="260"/>
      <c r="T72" s="260"/>
      <c r="U72" s="260"/>
      <c r="V72" s="260"/>
      <c r="W72" s="260"/>
      <c r="X72" s="260"/>
      <c r="Y72" s="260"/>
      <c r="Z72" s="260"/>
    </row>
    <row r="73" ht="13.5" customHeight="1">
      <c r="A73" s="260"/>
      <c r="B73" s="260"/>
      <c r="C73" s="260"/>
      <c r="D73" s="260"/>
      <c r="E73" s="260"/>
      <c r="F73" s="260"/>
      <c r="G73" s="260"/>
      <c r="H73" s="260"/>
      <c r="I73" s="260"/>
      <c r="J73" s="260"/>
      <c r="K73" s="260"/>
      <c r="L73" s="260"/>
      <c r="M73" s="260"/>
      <c r="N73" s="260"/>
      <c r="O73" s="260"/>
      <c r="P73" s="260"/>
      <c r="Q73" s="260"/>
      <c r="R73" s="260"/>
      <c r="S73" s="260"/>
      <c r="T73" s="260"/>
      <c r="U73" s="260"/>
      <c r="V73" s="260"/>
      <c r="W73" s="260"/>
      <c r="X73" s="260"/>
      <c r="Y73" s="260"/>
      <c r="Z73" s="260"/>
    </row>
    <row r="74" ht="13.5" customHeight="1">
      <c r="A74" s="260"/>
      <c r="B74" s="260"/>
      <c r="C74" s="260"/>
      <c r="D74" s="260"/>
      <c r="E74" s="260"/>
      <c r="F74" s="260"/>
      <c r="G74" s="260"/>
      <c r="H74" s="260"/>
      <c r="I74" s="260"/>
      <c r="J74" s="260"/>
      <c r="K74" s="260"/>
      <c r="L74" s="260"/>
      <c r="M74" s="260"/>
      <c r="N74" s="260"/>
      <c r="O74" s="260"/>
      <c r="P74" s="260"/>
      <c r="Q74" s="260"/>
      <c r="R74" s="260"/>
      <c r="S74" s="260"/>
      <c r="T74" s="260"/>
      <c r="U74" s="260"/>
      <c r="V74" s="260"/>
      <c r="W74" s="260"/>
      <c r="X74" s="260"/>
      <c r="Y74" s="260"/>
      <c r="Z74" s="260"/>
    </row>
    <row r="75" ht="13.5" customHeight="1">
      <c r="A75" s="260"/>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row>
    <row r="76" ht="13.5" customHeight="1">
      <c r="A76" s="260"/>
      <c r="B76" s="260"/>
      <c r="C76" s="260"/>
      <c r="D76" s="260"/>
      <c r="E76" s="260"/>
      <c r="F76" s="260"/>
      <c r="G76" s="260"/>
      <c r="H76" s="260"/>
      <c r="I76" s="260"/>
      <c r="J76" s="260"/>
      <c r="K76" s="260"/>
      <c r="L76" s="260"/>
      <c r="M76" s="260"/>
      <c r="N76" s="260"/>
      <c r="O76" s="260"/>
      <c r="P76" s="260"/>
      <c r="Q76" s="260"/>
      <c r="R76" s="260"/>
      <c r="S76" s="260"/>
      <c r="T76" s="260"/>
      <c r="U76" s="260"/>
      <c r="V76" s="260"/>
      <c r="W76" s="260"/>
      <c r="X76" s="260"/>
      <c r="Y76" s="260"/>
      <c r="Z76" s="260"/>
    </row>
    <row r="77" ht="13.5" customHeight="1">
      <c r="A77" s="260"/>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row>
    <row r="78" ht="13.5" customHeight="1">
      <c r="A78" s="260"/>
      <c r="B78" s="260"/>
      <c r="C78" s="260"/>
      <c r="D78" s="260"/>
      <c r="E78" s="260"/>
      <c r="F78" s="260"/>
      <c r="G78" s="260"/>
      <c r="H78" s="260"/>
      <c r="I78" s="260"/>
      <c r="J78" s="260"/>
      <c r="K78" s="260"/>
      <c r="L78" s="260"/>
      <c r="M78" s="260"/>
      <c r="N78" s="260"/>
      <c r="O78" s="260"/>
      <c r="P78" s="260"/>
      <c r="Q78" s="260"/>
      <c r="R78" s="260"/>
      <c r="S78" s="260"/>
      <c r="T78" s="260"/>
      <c r="U78" s="260"/>
      <c r="V78" s="260"/>
      <c r="W78" s="260"/>
      <c r="X78" s="260"/>
      <c r="Y78" s="260"/>
      <c r="Z78" s="260"/>
    </row>
    <row r="79" ht="13.5" customHeight="1">
      <c r="A79" s="260"/>
      <c r="B79" s="260"/>
      <c r="C79" s="260"/>
      <c r="D79" s="260"/>
      <c r="E79" s="260"/>
      <c r="F79" s="260"/>
      <c r="G79" s="260"/>
      <c r="H79" s="260"/>
      <c r="I79" s="260"/>
      <c r="J79" s="260"/>
      <c r="K79" s="260"/>
      <c r="L79" s="260"/>
      <c r="M79" s="260"/>
      <c r="N79" s="260"/>
      <c r="O79" s="260"/>
      <c r="P79" s="260"/>
      <c r="Q79" s="260"/>
      <c r="R79" s="260"/>
      <c r="S79" s="260"/>
      <c r="T79" s="260"/>
      <c r="U79" s="260"/>
      <c r="V79" s="260"/>
      <c r="W79" s="260"/>
      <c r="X79" s="260"/>
      <c r="Y79" s="260"/>
      <c r="Z79" s="260"/>
    </row>
    <row r="80" ht="13.5" customHeight="1">
      <c r="A80" s="260"/>
      <c r="B80" s="260"/>
      <c r="C80" s="260"/>
      <c r="D80" s="260"/>
      <c r="E80" s="260"/>
      <c r="F80" s="260"/>
      <c r="G80" s="260"/>
      <c r="H80" s="260"/>
      <c r="I80" s="260"/>
      <c r="J80" s="260"/>
      <c r="K80" s="260"/>
      <c r="L80" s="260"/>
      <c r="M80" s="260"/>
      <c r="N80" s="260"/>
      <c r="O80" s="260"/>
      <c r="P80" s="260"/>
      <c r="Q80" s="260"/>
      <c r="R80" s="260"/>
      <c r="S80" s="260"/>
      <c r="T80" s="260"/>
      <c r="U80" s="260"/>
      <c r="V80" s="260"/>
      <c r="W80" s="260"/>
      <c r="X80" s="260"/>
      <c r="Y80" s="260"/>
      <c r="Z80" s="260"/>
    </row>
    <row r="81" ht="13.5" customHeight="1">
      <c r="A81" s="260"/>
      <c r="B81" s="260"/>
      <c r="C81" s="260"/>
      <c r="D81" s="260"/>
      <c r="E81" s="260"/>
      <c r="F81" s="260"/>
      <c r="G81" s="260"/>
      <c r="H81" s="260"/>
      <c r="I81" s="260"/>
      <c r="J81" s="260"/>
      <c r="K81" s="260"/>
      <c r="L81" s="260"/>
      <c r="M81" s="260"/>
      <c r="N81" s="260"/>
      <c r="O81" s="260"/>
      <c r="P81" s="260"/>
      <c r="Q81" s="260"/>
      <c r="R81" s="260"/>
      <c r="S81" s="260"/>
      <c r="T81" s="260"/>
      <c r="U81" s="260"/>
      <c r="V81" s="260"/>
      <c r="W81" s="260"/>
      <c r="X81" s="260"/>
      <c r="Y81" s="260"/>
      <c r="Z81" s="260"/>
    </row>
    <row r="82" ht="13.5" customHeight="1">
      <c r="A82" s="260"/>
      <c r="B82" s="260"/>
      <c r="C82" s="260"/>
      <c r="D82" s="260"/>
      <c r="E82" s="260"/>
      <c r="F82" s="260"/>
      <c r="G82" s="260"/>
      <c r="H82" s="260"/>
      <c r="I82" s="260"/>
      <c r="J82" s="260"/>
      <c r="K82" s="260"/>
      <c r="L82" s="260"/>
      <c r="M82" s="260"/>
      <c r="N82" s="260"/>
      <c r="O82" s="260"/>
      <c r="P82" s="260"/>
      <c r="Q82" s="260"/>
      <c r="R82" s="260"/>
      <c r="S82" s="260"/>
      <c r="T82" s="260"/>
      <c r="U82" s="260"/>
      <c r="V82" s="260"/>
      <c r="W82" s="260"/>
      <c r="X82" s="260"/>
      <c r="Y82" s="260"/>
      <c r="Z82" s="260"/>
    </row>
    <row r="83" ht="13.5" customHeight="1">
      <c r="A83" s="260"/>
      <c r="B83" s="260"/>
      <c r="C83" s="260"/>
      <c r="D83" s="260"/>
      <c r="E83" s="260"/>
      <c r="F83" s="260"/>
      <c r="G83" s="260"/>
      <c r="H83" s="260"/>
      <c r="I83" s="260"/>
      <c r="J83" s="260"/>
      <c r="K83" s="260"/>
      <c r="L83" s="260"/>
      <c r="M83" s="260"/>
      <c r="N83" s="260"/>
      <c r="O83" s="260"/>
      <c r="P83" s="260"/>
      <c r="Q83" s="260"/>
      <c r="R83" s="260"/>
      <c r="S83" s="260"/>
      <c r="T83" s="260"/>
      <c r="U83" s="260"/>
      <c r="V83" s="260"/>
      <c r="W83" s="260"/>
      <c r="X83" s="260"/>
      <c r="Y83" s="260"/>
      <c r="Z83" s="260"/>
    </row>
    <row r="84" ht="13.5" customHeight="1">
      <c r="A84" s="260"/>
      <c r="B84" s="260"/>
      <c r="C84" s="260"/>
      <c r="D84" s="260"/>
      <c r="E84" s="260"/>
      <c r="F84" s="260"/>
      <c r="G84" s="260"/>
      <c r="H84" s="260"/>
      <c r="I84" s="260"/>
      <c r="J84" s="260"/>
      <c r="K84" s="260"/>
      <c r="L84" s="260"/>
      <c r="M84" s="260"/>
      <c r="N84" s="260"/>
      <c r="O84" s="260"/>
      <c r="P84" s="260"/>
      <c r="Q84" s="260"/>
      <c r="R84" s="260"/>
      <c r="S84" s="260"/>
      <c r="T84" s="260"/>
      <c r="U84" s="260"/>
      <c r="V84" s="260"/>
      <c r="W84" s="260"/>
      <c r="X84" s="260"/>
      <c r="Y84" s="260"/>
      <c r="Z84" s="260"/>
    </row>
    <row r="85" ht="13.5" customHeight="1">
      <c r="A85" s="260"/>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row>
    <row r="86" ht="13.5" customHeight="1">
      <c r="A86" s="260"/>
      <c r="B86" s="260"/>
      <c r="C86" s="260"/>
      <c r="D86" s="260"/>
      <c r="E86" s="260"/>
      <c r="F86" s="260"/>
      <c r="G86" s="260"/>
      <c r="H86" s="260"/>
      <c r="I86" s="260"/>
      <c r="J86" s="260"/>
      <c r="K86" s="260"/>
      <c r="L86" s="260"/>
      <c r="M86" s="260"/>
      <c r="N86" s="260"/>
      <c r="O86" s="260"/>
      <c r="P86" s="260"/>
      <c r="Q86" s="260"/>
      <c r="R86" s="260"/>
      <c r="S86" s="260"/>
      <c r="T86" s="260"/>
      <c r="U86" s="260"/>
      <c r="V86" s="260"/>
      <c r="W86" s="260"/>
      <c r="X86" s="260"/>
      <c r="Y86" s="260"/>
      <c r="Z86" s="260"/>
    </row>
    <row r="87" ht="13.5" customHeight="1">
      <c r="A87" s="260"/>
      <c r="B87" s="260"/>
      <c r="C87" s="260"/>
      <c r="D87" s="260"/>
      <c r="E87" s="260"/>
      <c r="F87" s="260"/>
      <c r="G87" s="260"/>
      <c r="H87" s="260"/>
      <c r="I87" s="260"/>
      <c r="J87" s="260"/>
      <c r="K87" s="260"/>
      <c r="L87" s="260"/>
      <c r="M87" s="260"/>
      <c r="N87" s="260"/>
      <c r="O87" s="260"/>
      <c r="P87" s="260"/>
      <c r="Q87" s="260"/>
      <c r="R87" s="260"/>
      <c r="S87" s="260"/>
      <c r="T87" s="260"/>
      <c r="U87" s="260"/>
      <c r="V87" s="260"/>
      <c r="W87" s="260"/>
      <c r="X87" s="260"/>
      <c r="Y87" s="260"/>
      <c r="Z87" s="260"/>
    </row>
    <row r="88" ht="13.5" customHeight="1">
      <c r="A88" s="260"/>
      <c r="B88" s="260"/>
      <c r="C88" s="260"/>
      <c r="D88" s="260"/>
      <c r="E88" s="260"/>
      <c r="F88" s="260"/>
      <c r="G88" s="260"/>
      <c r="H88" s="260"/>
      <c r="I88" s="260"/>
      <c r="J88" s="260"/>
      <c r="K88" s="260"/>
      <c r="L88" s="260"/>
      <c r="M88" s="260"/>
      <c r="N88" s="260"/>
      <c r="O88" s="260"/>
      <c r="P88" s="260"/>
      <c r="Q88" s="260"/>
      <c r="R88" s="260"/>
      <c r="S88" s="260"/>
      <c r="T88" s="260"/>
      <c r="U88" s="260"/>
      <c r="V88" s="260"/>
      <c r="W88" s="260"/>
      <c r="X88" s="260"/>
      <c r="Y88" s="260"/>
      <c r="Z88" s="260"/>
    </row>
    <row r="89" ht="13.5" customHeight="1">
      <c r="A89" s="260"/>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row>
    <row r="90" ht="13.5" customHeight="1">
      <c r="A90" s="260"/>
      <c r="B90" s="260"/>
      <c r="C90" s="260"/>
      <c r="D90" s="260"/>
      <c r="E90" s="260"/>
      <c r="F90" s="260"/>
      <c r="G90" s="260"/>
      <c r="H90" s="260"/>
      <c r="I90" s="260"/>
      <c r="J90" s="260"/>
      <c r="K90" s="260"/>
      <c r="L90" s="260"/>
      <c r="M90" s="260"/>
      <c r="N90" s="260"/>
      <c r="O90" s="260"/>
      <c r="P90" s="260"/>
      <c r="Q90" s="260"/>
      <c r="R90" s="260"/>
      <c r="S90" s="260"/>
      <c r="T90" s="260"/>
      <c r="U90" s="260"/>
      <c r="V90" s="260"/>
      <c r="W90" s="260"/>
      <c r="X90" s="260"/>
      <c r="Y90" s="260"/>
      <c r="Z90" s="260"/>
    </row>
    <row r="91" ht="13.5" customHeight="1">
      <c r="A91" s="260"/>
      <c r="B91" s="260"/>
      <c r="C91" s="260"/>
      <c r="D91" s="260"/>
      <c r="E91" s="260"/>
      <c r="F91" s="260"/>
      <c r="G91" s="260"/>
      <c r="H91" s="260"/>
      <c r="I91" s="260"/>
      <c r="J91" s="260"/>
      <c r="K91" s="260"/>
      <c r="L91" s="260"/>
      <c r="M91" s="260"/>
      <c r="N91" s="260"/>
      <c r="O91" s="260"/>
      <c r="P91" s="260"/>
      <c r="Q91" s="260"/>
      <c r="R91" s="260"/>
      <c r="S91" s="260"/>
      <c r="T91" s="260"/>
      <c r="U91" s="260"/>
      <c r="V91" s="260"/>
      <c r="W91" s="260"/>
      <c r="X91" s="260"/>
      <c r="Y91" s="260"/>
      <c r="Z91" s="260"/>
    </row>
    <row r="92" ht="13.5" customHeight="1">
      <c r="A92" s="260"/>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row>
    <row r="93" ht="13.5" customHeight="1">
      <c r="A93" s="260"/>
      <c r="B93" s="260"/>
      <c r="C93" s="260"/>
      <c r="D93" s="260"/>
      <c r="E93" s="260"/>
      <c r="F93" s="260"/>
      <c r="G93" s="260"/>
      <c r="H93" s="260"/>
      <c r="I93" s="260"/>
      <c r="J93" s="260"/>
      <c r="K93" s="260"/>
      <c r="L93" s="260"/>
      <c r="M93" s="260"/>
      <c r="N93" s="260"/>
      <c r="O93" s="260"/>
      <c r="P93" s="260"/>
      <c r="Q93" s="260"/>
      <c r="R93" s="260"/>
      <c r="S93" s="260"/>
      <c r="T93" s="260"/>
      <c r="U93" s="260"/>
      <c r="V93" s="260"/>
      <c r="W93" s="260"/>
      <c r="X93" s="260"/>
      <c r="Y93" s="260"/>
      <c r="Z93" s="260"/>
    </row>
    <row r="94" ht="13.5" customHeight="1">
      <c r="A94" s="260"/>
      <c r="B94" s="260"/>
      <c r="C94" s="260"/>
      <c r="D94" s="260"/>
      <c r="E94" s="260"/>
      <c r="F94" s="260"/>
      <c r="G94" s="260"/>
      <c r="H94" s="260"/>
      <c r="I94" s="260"/>
      <c r="J94" s="260"/>
      <c r="K94" s="260"/>
      <c r="L94" s="260"/>
      <c r="M94" s="260"/>
      <c r="N94" s="260"/>
      <c r="O94" s="260"/>
      <c r="P94" s="260"/>
      <c r="Q94" s="260"/>
      <c r="R94" s="260"/>
      <c r="S94" s="260"/>
      <c r="T94" s="260"/>
      <c r="U94" s="260"/>
      <c r="V94" s="260"/>
      <c r="W94" s="260"/>
      <c r="X94" s="260"/>
      <c r="Y94" s="260"/>
      <c r="Z94" s="260"/>
    </row>
    <row r="95" ht="13.5" customHeight="1">
      <c r="A95" s="260"/>
      <c r="B95" s="260"/>
      <c r="C95" s="260"/>
      <c r="D95" s="260"/>
      <c r="E95" s="260"/>
      <c r="F95" s="260"/>
      <c r="G95" s="260"/>
      <c r="H95" s="260"/>
      <c r="I95" s="260"/>
      <c r="J95" s="260"/>
      <c r="K95" s="260"/>
      <c r="L95" s="260"/>
      <c r="M95" s="260"/>
      <c r="N95" s="260"/>
      <c r="O95" s="260"/>
      <c r="P95" s="260"/>
      <c r="Q95" s="260"/>
      <c r="R95" s="260"/>
      <c r="S95" s="260"/>
      <c r="T95" s="260"/>
      <c r="U95" s="260"/>
      <c r="V95" s="260"/>
      <c r="W95" s="260"/>
      <c r="X95" s="260"/>
      <c r="Y95" s="260"/>
      <c r="Z95" s="260"/>
    </row>
    <row r="96" ht="13.5" customHeight="1">
      <c r="A96" s="260"/>
      <c r="B96" s="260"/>
      <c r="C96" s="260"/>
      <c r="D96" s="260"/>
      <c r="E96" s="260"/>
      <c r="F96" s="260"/>
      <c r="G96" s="260"/>
      <c r="H96" s="260"/>
      <c r="I96" s="260"/>
      <c r="J96" s="260"/>
      <c r="K96" s="260"/>
      <c r="L96" s="260"/>
      <c r="M96" s="260"/>
      <c r="N96" s="260"/>
      <c r="O96" s="260"/>
      <c r="P96" s="260"/>
      <c r="Q96" s="260"/>
      <c r="R96" s="260"/>
      <c r="S96" s="260"/>
      <c r="T96" s="260"/>
      <c r="U96" s="260"/>
      <c r="V96" s="260"/>
      <c r="W96" s="260"/>
      <c r="X96" s="260"/>
      <c r="Y96" s="260"/>
      <c r="Z96" s="260"/>
    </row>
    <row r="97" ht="13.5" customHeight="1">
      <c r="A97" s="260"/>
      <c r="B97" s="260"/>
      <c r="C97" s="260"/>
      <c r="D97" s="260"/>
      <c r="E97" s="260"/>
      <c r="F97" s="260"/>
      <c r="G97" s="260"/>
      <c r="H97" s="260"/>
      <c r="I97" s="260"/>
      <c r="J97" s="260"/>
      <c r="K97" s="260"/>
      <c r="L97" s="260"/>
      <c r="M97" s="260"/>
      <c r="N97" s="260"/>
      <c r="O97" s="260"/>
      <c r="P97" s="260"/>
      <c r="Q97" s="260"/>
      <c r="R97" s="260"/>
      <c r="S97" s="260"/>
      <c r="T97" s="260"/>
      <c r="U97" s="260"/>
      <c r="V97" s="260"/>
      <c r="W97" s="260"/>
      <c r="X97" s="260"/>
      <c r="Y97" s="260"/>
      <c r="Z97" s="260"/>
    </row>
    <row r="98" ht="13.5" customHeight="1">
      <c r="A98" s="260"/>
      <c r="B98" s="260"/>
      <c r="C98" s="260"/>
      <c r="D98" s="260"/>
      <c r="E98" s="260"/>
      <c r="F98" s="260"/>
      <c r="G98" s="260"/>
      <c r="H98" s="260"/>
      <c r="I98" s="260"/>
      <c r="J98" s="260"/>
      <c r="K98" s="260"/>
      <c r="L98" s="260"/>
      <c r="M98" s="260"/>
      <c r="N98" s="260"/>
      <c r="O98" s="260"/>
      <c r="P98" s="260"/>
      <c r="Q98" s="260"/>
      <c r="R98" s="260"/>
      <c r="S98" s="260"/>
      <c r="T98" s="260"/>
      <c r="U98" s="260"/>
      <c r="V98" s="260"/>
      <c r="W98" s="260"/>
      <c r="X98" s="260"/>
      <c r="Y98" s="260"/>
      <c r="Z98" s="260"/>
    </row>
    <row r="99" ht="13.5" customHeight="1">
      <c r="A99" s="260"/>
      <c r="B99" s="260"/>
      <c r="C99" s="260"/>
      <c r="D99" s="260"/>
      <c r="E99" s="260"/>
      <c r="F99" s="260"/>
      <c r="G99" s="260"/>
      <c r="H99" s="260"/>
      <c r="I99" s="260"/>
      <c r="J99" s="260"/>
      <c r="K99" s="260"/>
      <c r="L99" s="260"/>
      <c r="M99" s="260"/>
      <c r="N99" s="260"/>
      <c r="O99" s="260"/>
      <c r="P99" s="260"/>
      <c r="Q99" s="260"/>
      <c r="R99" s="260"/>
      <c r="S99" s="260"/>
      <c r="T99" s="260"/>
      <c r="U99" s="260"/>
      <c r="V99" s="260"/>
      <c r="W99" s="260"/>
      <c r="X99" s="260"/>
      <c r="Y99" s="260"/>
      <c r="Z99" s="260"/>
    </row>
    <row r="100" ht="13.5" customHeight="1">
      <c r="A100" s="260"/>
      <c r="B100" s="260"/>
      <c r="C100" s="260"/>
      <c r="D100" s="260"/>
      <c r="E100" s="260"/>
      <c r="F100" s="260"/>
      <c r="G100" s="260"/>
      <c r="H100" s="260"/>
      <c r="I100" s="260"/>
      <c r="J100" s="260"/>
      <c r="K100" s="260"/>
      <c r="L100" s="260"/>
      <c r="M100" s="260"/>
      <c r="N100" s="260"/>
      <c r="O100" s="260"/>
      <c r="P100" s="260"/>
      <c r="Q100" s="260"/>
      <c r="R100" s="260"/>
      <c r="S100" s="260"/>
      <c r="T100" s="260"/>
      <c r="U100" s="260"/>
      <c r="V100" s="260"/>
      <c r="W100" s="260"/>
      <c r="X100" s="260"/>
      <c r="Y100" s="260"/>
      <c r="Z100" s="260"/>
    </row>
    <row r="101" ht="13.5" customHeight="1">
      <c r="A101" s="260"/>
      <c r="B101" s="260"/>
      <c r="C101" s="260"/>
      <c r="D101" s="260"/>
      <c r="E101" s="260"/>
      <c r="F101" s="260"/>
      <c r="G101" s="260"/>
      <c r="H101" s="260"/>
      <c r="I101" s="260"/>
      <c r="J101" s="260"/>
      <c r="K101" s="260"/>
      <c r="L101" s="260"/>
      <c r="M101" s="260"/>
      <c r="N101" s="260"/>
      <c r="O101" s="260"/>
      <c r="P101" s="260"/>
      <c r="Q101" s="260"/>
      <c r="R101" s="260"/>
      <c r="S101" s="260"/>
      <c r="T101" s="260"/>
      <c r="U101" s="260"/>
      <c r="V101" s="260"/>
      <c r="W101" s="260"/>
      <c r="X101" s="260"/>
      <c r="Y101" s="260"/>
      <c r="Z101" s="260"/>
    </row>
    <row r="102" ht="13.5" customHeight="1">
      <c r="A102" s="260"/>
      <c r="B102" s="260"/>
      <c r="C102" s="260"/>
      <c r="D102" s="260"/>
      <c r="E102" s="260"/>
      <c r="F102" s="260"/>
      <c r="G102" s="260"/>
      <c r="H102" s="260"/>
      <c r="I102" s="260"/>
      <c r="J102" s="260"/>
      <c r="K102" s="260"/>
      <c r="L102" s="260"/>
      <c r="M102" s="260"/>
      <c r="N102" s="260"/>
      <c r="O102" s="260"/>
      <c r="P102" s="260"/>
      <c r="Q102" s="260"/>
      <c r="R102" s="260"/>
      <c r="S102" s="260"/>
      <c r="T102" s="260"/>
      <c r="U102" s="260"/>
      <c r="V102" s="260"/>
      <c r="W102" s="260"/>
      <c r="X102" s="260"/>
      <c r="Y102" s="260"/>
      <c r="Z102" s="260"/>
    </row>
    <row r="103" ht="13.5" customHeight="1">
      <c r="A103" s="260"/>
      <c r="B103" s="260"/>
      <c r="C103" s="260"/>
      <c r="D103" s="260"/>
      <c r="E103" s="260"/>
      <c r="F103" s="260"/>
      <c r="G103" s="260"/>
      <c r="H103" s="260"/>
      <c r="I103" s="260"/>
      <c r="J103" s="260"/>
      <c r="K103" s="260"/>
      <c r="L103" s="260"/>
      <c r="M103" s="260"/>
      <c r="N103" s="260"/>
      <c r="O103" s="260"/>
      <c r="P103" s="260"/>
      <c r="Q103" s="260"/>
      <c r="R103" s="260"/>
      <c r="S103" s="260"/>
      <c r="T103" s="260"/>
      <c r="U103" s="260"/>
      <c r="V103" s="260"/>
      <c r="W103" s="260"/>
      <c r="X103" s="260"/>
      <c r="Y103" s="260"/>
      <c r="Z103" s="260"/>
    </row>
    <row r="104" ht="13.5" customHeight="1">
      <c r="A104" s="260"/>
      <c r="B104" s="260"/>
      <c r="C104" s="260"/>
      <c r="D104" s="260"/>
      <c r="E104" s="260"/>
      <c r="F104" s="260"/>
      <c r="G104" s="260"/>
      <c r="H104" s="260"/>
      <c r="I104" s="260"/>
      <c r="J104" s="260"/>
      <c r="K104" s="260"/>
      <c r="L104" s="260"/>
      <c r="M104" s="260"/>
      <c r="N104" s="260"/>
      <c r="O104" s="260"/>
      <c r="P104" s="260"/>
      <c r="Q104" s="260"/>
      <c r="R104" s="260"/>
      <c r="S104" s="260"/>
      <c r="T104" s="260"/>
      <c r="U104" s="260"/>
      <c r="V104" s="260"/>
      <c r="W104" s="260"/>
      <c r="X104" s="260"/>
      <c r="Y104" s="260"/>
      <c r="Z104" s="260"/>
    </row>
    <row r="105" ht="13.5" customHeight="1">
      <c r="A105" s="260"/>
      <c r="B105" s="260"/>
      <c r="C105" s="260"/>
      <c r="D105" s="260"/>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0"/>
    </row>
    <row r="106" ht="13.5" customHeight="1">
      <c r="A106" s="260"/>
      <c r="B106" s="260"/>
      <c r="C106" s="260"/>
      <c r="D106" s="260"/>
      <c r="E106" s="260"/>
      <c r="F106" s="260"/>
      <c r="G106" s="260"/>
      <c r="H106" s="260"/>
      <c r="I106" s="260"/>
      <c r="J106" s="260"/>
      <c r="K106" s="260"/>
      <c r="L106" s="260"/>
      <c r="M106" s="260"/>
      <c r="N106" s="260"/>
      <c r="O106" s="260"/>
      <c r="P106" s="260"/>
      <c r="Q106" s="260"/>
      <c r="R106" s="260"/>
      <c r="S106" s="260"/>
      <c r="T106" s="260"/>
      <c r="U106" s="260"/>
      <c r="V106" s="260"/>
      <c r="W106" s="260"/>
      <c r="X106" s="260"/>
      <c r="Y106" s="260"/>
      <c r="Z106" s="260"/>
    </row>
    <row r="107" ht="13.5" customHeight="1">
      <c r="A107" s="260"/>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row>
    <row r="108" ht="13.5" customHeight="1">
      <c r="A108" s="260"/>
      <c r="B108" s="260"/>
      <c r="C108" s="260"/>
      <c r="D108" s="260"/>
      <c r="E108" s="260"/>
      <c r="F108" s="260"/>
      <c r="G108" s="260"/>
      <c r="H108" s="260"/>
      <c r="I108" s="260"/>
      <c r="J108" s="260"/>
      <c r="K108" s="260"/>
      <c r="L108" s="260"/>
      <c r="M108" s="260"/>
      <c r="N108" s="260"/>
      <c r="O108" s="260"/>
      <c r="P108" s="260"/>
      <c r="Q108" s="260"/>
      <c r="R108" s="260"/>
      <c r="S108" s="260"/>
      <c r="T108" s="260"/>
      <c r="U108" s="260"/>
      <c r="V108" s="260"/>
      <c r="W108" s="260"/>
      <c r="X108" s="260"/>
      <c r="Y108" s="260"/>
      <c r="Z108" s="260"/>
    </row>
    <row r="109" ht="13.5" customHeight="1">
      <c r="A109" s="260"/>
      <c r="B109" s="260"/>
      <c r="C109" s="260"/>
      <c r="D109" s="260"/>
      <c r="E109" s="260"/>
      <c r="F109" s="260"/>
      <c r="G109" s="260"/>
      <c r="H109" s="260"/>
      <c r="I109" s="260"/>
      <c r="J109" s="260"/>
      <c r="K109" s="260"/>
      <c r="L109" s="260"/>
      <c r="M109" s="260"/>
      <c r="N109" s="260"/>
      <c r="O109" s="260"/>
      <c r="P109" s="260"/>
      <c r="Q109" s="260"/>
      <c r="R109" s="260"/>
      <c r="S109" s="260"/>
      <c r="T109" s="260"/>
      <c r="U109" s="260"/>
      <c r="V109" s="260"/>
      <c r="W109" s="260"/>
      <c r="X109" s="260"/>
      <c r="Y109" s="260"/>
      <c r="Z109" s="260"/>
    </row>
    <row r="110" ht="13.5" customHeight="1">
      <c r="A110" s="260"/>
      <c r="B110" s="260"/>
      <c r="C110" s="260"/>
      <c r="D110" s="260"/>
      <c r="E110" s="260"/>
      <c r="F110" s="260"/>
      <c r="G110" s="260"/>
      <c r="H110" s="260"/>
      <c r="I110" s="260"/>
      <c r="J110" s="260"/>
      <c r="K110" s="260"/>
      <c r="L110" s="260"/>
      <c r="M110" s="260"/>
      <c r="N110" s="260"/>
      <c r="O110" s="260"/>
      <c r="P110" s="260"/>
      <c r="Q110" s="260"/>
      <c r="R110" s="260"/>
      <c r="S110" s="260"/>
      <c r="T110" s="260"/>
      <c r="U110" s="260"/>
      <c r="V110" s="260"/>
      <c r="W110" s="260"/>
      <c r="X110" s="260"/>
      <c r="Y110" s="260"/>
      <c r="Z110" s="260"/>
    </row>
    <row r="111" ht="13.5" customHeight="1">
      <c r="A111" s="260"/>
      <c r="B111" s="260"/>
      <c r="C111" s="260"/>
      <c r="D111" s="260"/>
      <c r="E111" s="260"/>
      <c r="F111" s="260"/>
      <c r="G111" s="260"/>
      <c r="H111" s="260"/>
      <c r="I111" s="260"/>
      <c r="J111" s="260"/>
      <c r="K111" s="260"/>
      <c r="L111" s="260"/>
      <c r="M111" s="260"/>
      <c r="N111" s="260"/>
      <c r="O111" s="260"/>
      <c r="P111" s="260"/>
      <c r="Q111" s="260"/>
      <c r="R111" s="260"/>
      <c r="S111" s="260"/>
      <c r="T111" s="260"/>
      <c r="U111" s="260"/>
      <c r="V111" s="260"/>
      <c r="W111" s="260"/>
      <c r="X111" s="260"/>
      <c r="Y111" s="260"/>
      <c r="Z111" s="260"/>
    </row>
    <row r="112" ht="13.5" customHeight="1">
      <c r="A112" s="260"/>
      <c r="B112" s="260"/>
      <c r="C112" s="260"/>
      <c r="D112" s="260"/>
      <c r="E112" s="260"/>
      <c r="F112" s="260"/>
      <c r="G112" s="260"/>
      <c r="H112" s="260"/>
      <c r="I112" s="260"/>
      <c r="J112" s="260"/>
      <c r="K112" s="260"/>
      <c r="L112" s="260"/>
      <c r="M112" s="260"/>
      <c r="N112" s="260"/>
      <c r="O112" s="260"/>
      <c r="P112" s="260"/>
      <c r="Q112" s="260"/>
      <c r="R112" s="260"/>
      <c r="S112" s="260"/>
      <c r="T112" s="260"/>
      <c r="U112" s="260"/>
      <c r="V112" s="260"/>
      <c r="W112" s="260"/>
      <c r="X112" s="260"/>
      <c r="Y112" s="260"/>
      <c r="Z112" s="260"/>
    </row>
    <row r="113" ht="13.5" customHeight="1">
      <c r="A113" s="260"/>
      <c r="B113" s="260"/>
      <c r="C113" s="260"/>
      <c r="D113" s="260"/>
      <c r="E113" s="260"/>
      <c r="F113" s="260"/>
      <c r="G113" s="260"/>
      <c r="H113" s="260"/>
      <c r="I113" s="260"/>
      <c r="J113" s="260"/>
      <c r="K113" s="260"/>
      <c r="L113" s="260"/>
      <c r="M113" s="260"/>
      <c r="N113" s="260"/>
      <c r="O113" s="260"/>
      <c r="P113" s="260"/>
      <c r="Q113" s="260"/>
      <c r="R113" s="260"/>
      <c r="S113" s="260"/>
      <c r="T113" s="260"/>
      <c r="U113" s="260"/>
      <c r="V113" s="260"/>
      <c r="W113" s="260"/>
      <c r="X113" s="260"/>
      <c r="Y113" s="260"/>
      <c r="Z113" s="260"/>
    </row>
    <row r="114" ht="13.5" customHeight="1">
      <c r="A114" s="260"/>
      <c r="B114" s="260"/>
      <c r="C114" s="260"/>
      <c r="D114" s="260"/>
      <c r="E114" s="260"/>
      <c r="F114" s="260"/>
      <c r="G114" s="260"/>
      <c r="H114" s="260"/>
      <c r="I114" s="260"/>
      <c r="J114" s="260"/>
      <c r="K114" s="260"/>
      <c r="L114" s="260"/>
      <c r="M114" s="260"/>
      <c r="N114" s="260"/>
      <c r="O114" s="260"/>
      <c r="P114" s="260"/>
      <c r="Q114" s="260"/>
      <c r="R114" s="260"/>
      <c r="S114" s="260"/>
      <c r="T114" s="260"/>
      <c r="U114" s="260"/>
      <c r="V114" s="260"/>
      <c r="W114" s="260"/>
      <c r="X114" s="260"/>
      <c r="Y114" s="260"/>
      <c r="Z114" s="260"/>
    </row>
    <row r="115" ht="13.5" customHeight="1">
      <c r="A115" s="260"/>
      <c r="B115" s="260"/>
      <c r="C115" s="260"/>
      <c r="D115" s="260"/>
      <c r="E115" s="260"/>
      <c r="F115" s="260"/>
      <c r="G115" s="260"/>
      <c r="H115" s="260"/>
      <c r="I115" s="260"/>
      <c r="J115" s="260"/>
      <c r="K115" s="260"/>
      <c r="L115" s="260"/>
      <c r="M115" s="260"/>
      <c r="N115" s="260"/>
      <c r="O115" s="260"/>
      <c r="P115" s="260"/>
      <c r="Q115" s="260"/>
      <c r="R115" s="260"/>
      <c r="S115" s="260"/>
      <c r="T115" s="260"/>
      <c r="U115" s="260"/>
      <c r="V115" s="260"/>
      <c r="W115" s="260"/>
      <c r="X115" s="260"/>
      <c r="Y115" s="260"/>
      <c r="Z115" s="260"/>
    </row>
    <row r="116" ht="13.5" customHeight="1">
      <c r="A116" s="260"/>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row>
    <row r="117" ht="13.5" customHeight="1">
      <c r="A117" s="260"/>
      <c r="B117" s="260"/>
      <c r="C117" s="260"/>
      <c r="D117" s="260"/>
      <c r="E117" s="260"/>
      <c r="F117" s="260"/>
      <c r="G117" s="260"/>
      <c r="H117" s="260"/>
      <c r="I117" s="260"/>
      <c r="J117" s="260"/>
      <c r="K117" s="260"/>
      <c r="L117" s="260"/>
      <c r="M117" s="260"/>
      <c r="N117" s="260"/>
      <c r="O117" s="260"/>
      <c r="P117" s="260"/>
      <c r="Q117" s="260"/>
      <c r="R117" s="260"/>
      <c r="S117" s="260"/>
      <c r="T117" s="260"/>
      <c r="U117" s="260"/>
      <c r="V117" s="260"/>
      <c r="W117" s="260"/>
      <c r="X117" s="260"/>
      <c r="Y117" s="260"/>
      <c r="Z117" s="260"/>
    </row>
    <row r="118" ht="13.5" customHeight="1">
      <c r="A118" s="260"/>
      <c r="B118" s="260"/>
      <c r="C118" s="260"/>
      <c r="D118" s="260"/>
      <c r="E118" s="260"/>
      <c r="F118" s="260"/>
      <c r="G118" s="260"/>
      <c r="H118" s="260"/>
      <c r="I118" s="260"/>
      <c r="J118" s="260"/>
      <c r="K118" s="260"/>
      <c r="L118" s="260"/>
      <c r="M118" s="260"/>
      <c r="N118" s="260"/>
      <c r="O118" s="260"/>
      <c r="P118" s="260"/>
      <c r="Q118" s="260"/>
      <c r="R118" s="260"/>
      <c r="S118" s="260"/>
      <c r="T118" s="260"/>
      <c r="U118" s="260"/>
      <c r="V118" s="260"/>
      <c r="W118" s="260"/>
      <c r="X118" s="260"/>
      <c r="Y118" s="260"/>
      <c r="Z118" s="260"/>
    </row>
    <row r="119" ht="13.5" customHeight="1">
      <c r="A119" s="260"/>
      <c r="B119" s="260"/>
      <c r="C119" s="260"/>
      <c r="D119" s="260"/>
      <c r="E119" s="260"/>
      <c r="F119" s="260"/>
      <c r="G119" s="260"/>
      <c r="H119" s="260"/>
      <c r="I119" s="260"/>
      <c r="J119" s="260"/>
      <c r="K119" s="260"/>
      <c r="L119" s="260"/>
      <c r="M119" s="260"/>
      <c r="N119" s="260"/>
      <c r="O119" s="260"/>
      <c r="P119" s="260"/>
      <c r="Q119" s="260"/>
      <c r="R119" s="260"/>
      <c r="S119" s="260"/>
      <c r="T119" s="260"/>
      <c r="U119" s="260"/>
      <c r="V119" s="260"/>
      <c r="W119" s="260"/>
      <c r="X119" s="260"/>
      <c r="Y119" s="260"/>
      <c r="Z119" s="260"/>
    </row>
    <row r="120" ht="13.5" customHeight="1">
      <c r="A120" s="260"/>
      <c r="B120" s="260"/>
      <c r="C120" s="260"/>
      <c r="D120" s="260"/>
      <c r="E120" s="260"/>
      <c r="F120" s="260"/>
      <c r="G120" s="260"/>
      <c r="H120" s="260"/>
      <c r="I120" s="260"/>
      <c r="J120" s="260"/>
      <c r="K120" s="260"/>
      <c r="L120" s="260"/>
      <c r="M120" s="260"/>
      <c r="N120" s="260"/>
      <c r="O120" s="260"/>
      <c r="P120" s="260"/>
      <c r="Q120" s="260"/>
      <c r="R120" s="260"/>
      <c r="S120" s="260"/>
      <c r="T120" s="260"/>
      <c r="U120" s="260"/>
      <c r="V120" s="260"/>
      <c r="W120" s="260"/>
      <c r="X120" s="260"/>
      <c r="Y120" s="260"/>
      <c r="Z120" s="260"/>
    </row>
    <row r="121" ht="13.5" customHeight="1">
      <c r="A121" s="260"/>
      <c r="B121" s="260"/>
      <c r="C121" s="260"/>
      <c r="D121" s="260"/>
      <c r="E121" s="260"/>
      <c r="F121" s="260"/>
      <c r="G121" s="260"/>
      <c r="H121" s="260"/>
      <c r="I121" s="260"/>
      <c r="J121" s="260"/>
      <c r="K121" s="260"/>
      <c r="L121" s="260"/>
      <c r="M121" s="260"/>
      <c r="N121" s="260"/>
      <c r="O121" s="260"/>
      <c r="P121" s="260"/>
      <c r="Q121" s="260"/>
      <c r="R121" s="260"/>
      <c r="S121" s="260"/>
      <c r="T121" s="260"/>
      <c r="U121" s="260"/>
      <c r="V121" s="260"/>
      <c r="W121" s="260"/>
      <c r="X121" s="260"/>
      <c r="Y121" s="260"/>
      <c r="Z121" s="260"/>
    </row>
    <row r="122" ht="13.5" customHeight="1">
      <c r="A122" s="260"/>
      <c r="B122" s="260"/>
      <c r="C122" s="260"/>
      <c r="D122" s="260"/>
      <c r="E122" s="260"/>
      <c r="F122" s="260"/>
      <c r="G122" s="260"/>
      <c r="H122" s="260"/>
      <c r="I122" s="260"/>
      <c r="J122" s="260"/>
      <c r="K122" s="260"/>
      <c r="L122" s="260"/>
      <c r="M122" s="260"/>
      <c r="N122" s="260"/>
      <c r="O122" s="260"/>
      <c r="P122" s="260"/>
      <c r="Q122" s="260"/>
      <c r="R122" s="260"/>
      <c r="S122" s="260"/>
      <c r="T122" s="260"/>
      <c r="U122" s="260"/>
      <c r="V122" s="260"/>
      <c r="W122" s="260"/>
      <c r="X122" s="260"/>
      <c r="Y122" s="260"/>
      <c r="Z122" s="260"/>
    </row>
    <row r="123" ht="13.5" customHeight="1">
      <c r="A123" s="260"/>
      <c r="B123" s="260"/>
      <c r="C123" s="260"/>
      <c r="D123" s="260"/>
      <c r="E123" s="260"/>
      <c r="F123" s="260"/>
      <c r="G123" s="260"/>
      <c r="H123" s="260"/>
      <c r="I123" s="260"/>
      <c r="J123" s="260"/>
      <c r="K123" s="260"/>
      <c r="L123" s="260"/>
      <c r="M123" s="260"/>
      <c r="N123" s="260"/>
      <c r="O123" s="260"/>
      <c r="P123" s="260"/>
      <c r="Q123" s="260"/>
      <c r="R123" s="260"/>
      <c r="S123" s="260"/>
      <c r="T123" s="260"/>
      <c r="U123" s="260"/>
      <c r="V123" s="260"/>
      <c r="W123" s="260"/>
      <c r="X123" s="260"/>
      <c r="Y123" s="260"/>
      <c r="Z123" s="260"/>
    </row>
    <row r="124" ht="13.5" customHeight="1">
      <c r="A124" s="260"/>
      <c r="B124" s="260"/>
      <c r="C124" s="260"/>
      <c r="D124" s="260"/>
      <c r="E124" s="260"/>
      <c r="F124" s="260"/>
      <c r="G124" s="260"/>
      <c r="H124" s="260"/>
      <c r="I124" s="260"/>
      <c r="J124" s="260"/>
      <c r="K124" s="260"/>
      <c r="L124" s="260"/>
      <c r="M124" s="260"/>
      <c r="N124" s="260"/>
      <c r="O124" s="260"/>
      <c r="P124" s="260"/>
      <c r="Q124" s="260"/>
      <c r="R124" s="260"/>
      <c r="S124" s="260"/>
      <c r="T124" s="260"/>
      <c r="U124" s="260"/>
      <c r="V124" s="260"/>
      <c r="W124" s="260"/>
      <c r="X124" s="260"/>
      <c r="Y124" s="260"/>
      <c r="Z124" s="260"/>
    </row>
    <row r="125" ht="13.5" customHeight="1">
      <c r="A125" s="260"/>
      <c r="B125" s="260"/>
      <c r="C125" s="260"/>
      <c r="D125" s="260"/>
      <c r="E125" s="260"/>
      <c r="F125" s="260"/>
      <c r="G125" s="260"/>
      <c r="H125" s="260"/>
      <c r="I125" s="260"/>
      <c r="J125" s="260"/>
      <c r="K125" s="260"/>
      <c r="L125" s="260"/>
      <c r="M125" s="260"/>
      <c r="N125" s="260"/>
      <c r="O125" s="260"/>
      <c r="P125" s="260"/>
      <c r="Q125" s="260"/>
      <c r="R125" s="260"/>
      <c r="S125" s="260"/>
      <c r="T125" s="260"/>
      <c r="U125" s="260"/>
      <c r="V125" s="260"/>
      <c r="W125" s="260"/>
      <c r="X125" s="260"/>
      <c r="Y125" s="260"/>
      <c r="Z125" s="260"/>
    </row>
    <row r="126" ht="13.5" customHeight="1">
      <c r="A126" s="260"/>
      <c r="B126" s="260"/>
      <c r="C126" s="260"/>
      <c r="D126" s="260"/>
      <c r="E126" s="260"/>
      <c r="F126" s="260"/>
      <c r="G126" s="260"/>
      <c r="H126" s="260"/>
      <c r="I126" s="260"/>
      <c r="J126" s="260"/>
      <c r="K126" s="260"/>
      <c r="L126" s="260"/>
      <c r="M126" s="260"/>
      <c r="N126" s="260"/>
      <c r="O126" s="260"/>
      <c r="P126" s="260"/>
      <c r="Q126" s="260"/>
      <c r="R126" s="260"/>
      <c r="S126" s="260"/>
      <c r="T126" s="260"/>
      <c r="U126" s="260"/>
      <c r="V126" s="260"/>
      <c r="W126" s="260"/>
      <c r="X126" s="260"/>
      <c r="Y126" s="260"/>
      <c r="Z126" s="260"/>
    </row>
    <row r="127" ht="13.5" customHeight="1">
      <c r="A127" s="260"/>
      <c r="B127" s="260"/>
      <c r="C127" s="260"/>
      <c r="D127" s="260"/>
      <c r="E127" s="260"/>
      <c r="F127" s="260"/>
      <c r="G127" s="260"/>
      <c r="H127" s="260"/>
      <c r="I127" s="260"/>
      <c r="J127" s="260"/>
      <c r="K127" s="260"/>
      <c r="L127" s="260"/>
      <c r="M127" s="260"/>
      <c r="N127" s="260"/>
      <c r="O127" s="260"/>
      <c r="P127" s="260"/>
      <c r="Q127" s="260"/>
      <c r="R127" s="260"/>
      <c r="S127" s="260"/>
      <c r="T127" s="260"/>
      <c r="U127" s="260"/>
      <c r="V127" s="260"/>
      <c r="W127" s="260"/>
      <c r="X127" s="260"/>
      <c r="Y127" s="260"/>
      <c r="Z127" s="260"/>
    </row>
    <row r="128" ht="13.5" customHeight="1">
      <c r="A128" s="260"/>
      <c r="B128" s="260"/>
      <c r="C128" s="260"/>
      <c r="D128" s="260"/>
      <c r="E128" s="260"/>
      <c r="F128" s="260"/>
      <c r="G128" s="260"/>
      <c r="H128" s="260"/>
      <c r="I128" s="260"/>
      <c r="J128" s="260"/>
      <c r="K128" s="260"/>
      <c r="L128" s="260"/>
      <c r="M128" s="260"/>
      <c r="N128" s="260"/>
      <c r="O128" s="260"/>
      <c r="P128" s="260"/>
      <c r="Q128" s="260"/>
      <c r="R128" s="260"/>
      <c r="S128" s="260"/>
      <c r="T128" s="260"/>
      <c r="U128" s="260"/>
      <c r="V128" s="260"/>
      <c r="W128" s="260"/>
      <c r="X128" s="260"/>
      <c r="Y128" s="260"/>
      <c r="Z128" s="260"/>
    </row>
    <row r="129" ht="13.5" customHeight="1">
      <c r="A129" s="260"/>
      <c r="B129" s="260"/>
      <c r="C129" s="260"/>
      <c r="D129" s="260"/>
      <c r="E129" s="260"/>
      <c r="F129" s="260"/>
      <c r="G129" s="260"/>
      <c r="H129" s="260"/>
      <c r="I129" s="260"/>
      <c r="J129" s="260"/>
      <c r="K129" s="260"/>
      <c r="L129" s="260"/>
      <c r="M129" s="260"/>
      <c r="N129" s="260"/>
      <c r="O129" s="260"/>
      <c r="P129" s="260"/>
      <c r="Q129" s="260"/>
      <c r="R129" s="260"/>
      <c r="S129" s="260"/>
      <c r="T129" s="260"/>
      <c r="U129" s="260"/>
      <c r="V129" s="260"/>
      <c r="W129" s="260"/>
      <c r="X129" s="260"/>
      <c r="Y129" s="260"/>
      <c r="Z129" s="260"/>
    </row>
    <row r="130" ht="13.5" customHeight="1">
      <c r="A130" s="260"/>
      <c r="B130" s="260"/>
      <c r="C130" s="260"/>
      <c r="D130" s="260"/>
      <c r="E130" s="260"/>
      <c r="F130" s="260"/>
      <c r="G130" s="260"/>
      <c r="H130" s="260"/>
      <c r="I130" s="260"/>
      <c r="J130" s="260"/>
      <c r="K130" s="260"/>
      <c r="L130" s="260"/>
      <c r="M130" s="260"/>
      <c r="N130" s="260"/>
      <c r="O130" s="260"/>
      <c r="P130" s="260"/>
      <c r="Q130" s="260"/>
      <c r="R130" s="260"/>
      <c r="S130" s="260"/>
      <c r="T130" s="260"/>
      <c r="U130" s="260"/>
      <c r="V130" s="260"/>
      <c r="W130" s="260"/>
      <c r="X130" s="260"/>
      <c r="Y130" s="260"/>
      <c r="Z130" s="260"/>
    </row>
    <row r="131" ht="13.5" customHeight="1">
      <c r="A131" s="260"/>
      <c r="B131" s="260"/>
      <c r="C131" s="260"/>
      <c r="D131" s="260"/>
      <c r="E131" s="260"/>
      <c r="F131" s="260"/>
      <c r="G131" s="260"/>
      <c r="H131" s="260"/>
      <c r="I131" s="260"/>
      <c r="J131" s="260"/>
      <c r="K131" s="260"/>
      <c r="L131" s="260"/>
      <c r="M131" s="260"/>
      <c r="N131" s="260"/>
      <c r="O131" s="260"/>
      <c r="P131" s="260"/>
      <c r="Q131" s="260"/>
      <c r="R131" s="260"/>
      <c r="S131" s="260"/>
      <c r="T131" s="260"/>
      <c r="U131" s="260"/>
      <c r="V131" s="260"/>
      <c r="W131" s="260"/>
      <c r="X131" s="260"/>
      <c r="Y131" s="260"/>
      <c r="Z131" s="260"/>
    </row>
    <row r="132" ht="13.5" customHeight="1">
      <c r="A132" s="260"/>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row>
    <row r="133" ht="13.5" customHeight="1">
      <c r="A133" s="260"/>
      <c r="B133" s="260"/>
      <c r="C133" s="260"/>
      <c r="D133" s="260"/>
      <c r="E133" s="260"/>
      <c r="F133" s="260"/>
      <c r="G133" s="260"/>
      <c r="H133" s="260"/>
      <c r="I133" s="260"/>
      <c r="J133" s="260"/>
      <c r="K133" s="260"/>
      <c r="L133" s="260"/>
      <c r="M133" s="260"/>
      <c r="N133" s="260"/>
      <c r="O133" s="260"/>
      <c r="P133" s="260"/>
      <c r="Q133" s="260"/>
      <c r="R133" s="260"/>
      <c r="S133" s="260"/>
      <c r="T133" s="260"/>
      <c r="U133" s="260"/>
      <c r="V133" s="260"/>
      <c r="W133" s="260"/>
      <c r="X133" s="260"/>
      <c r="Y133" s="260"/>
      <c r="Z133" s="260"/>
    </row>
    <row r="134" ht="13.5" customHeight="1">
      <c r="A134" s="260"/>
      <c r="B134" s="260"/>
      <c r="C134" s="260"/>
      <c r="D134" s="260"/>
      <c r="E134" s="260"/>
      <c r="F134" s="260"/>
      <c r="G134" s="260"/>
      <c r="H134" s="260"/>
      <c r="I134" s="260"/>
      <c r="J134" s="260"/>
      <c r="K134" s="260"/>
      <c r="L134" s="260"/>
      <c r="M134" s="260"/>
      <c r="N134" s="260"/>
      <c r="O134" s="260"/>
      <c r="P134" s="260"/>
      <c r="Q134" s="260"/>
      <c r="R134" s="260"/>
      <c r="S134" s="260"/>
      <c r="T134" s="260"/>
      <c r="U134" s="260"/>
      <c r="V134" s="260"/>
      <c r="W134" s="260"/>
      <c r="X134" s="260"/>
      <c r="Y134" s="260"/>
      <c r="Z134" s="260"/>
    </row>
    <row r="135" ht="13.5" customHeight="1">
      <c r="A135" s="260"/>
      <c r="B135" s="260"/>
      <c r="C135" s="260"/>
      <c r="D135" s="260"/>
      <c r="E135" s="260"/>
      <c r="F135" s="260"/>
      <c r="G135" s="260"/>
      <c r="H135" s="260"/>
      <c r="I135" s="260"/>
      <c r="J135" s="260"/>
      <c r="K135" s="260"/>
      <c r="L135" s="260"/>
      <c r="M135" s="260"/>
      <c r="N135" s="260"/>
      <c r="O135" s="260"/>
      <c r="P135" s="260"/>
      <c r="Q135" s="260"/>
      <c r="R135" s="260"/>
      <c r="S135" s="260"/>
      <c r="T135" s="260"/>
      <c r="U135" s="260"/>
      <c r="V135" s="260"/>
      <c r="W135" s="260"/>
      <c r="X135" s="260"/>
      <c r="Y135" s="260"/>
      <c r="Z135" s="260"/>
    </row>
    <row r="136" ht="13.5" customHeight="1">
      <c r="A136" s="260"/>
      <c r="B136" s="260"/>
      <c r="C136" s="260"/>
      <c r="D136" s="260"/>
      <c r="E136" s="260"/>
      <c r="F136" s="260"/>
      <c r="G136" s="260"/>
      <c r="H136" s="260"/>
      <c r="I136" s="260"/>
      <c r="J136" s="260"/>
      <c r="K136" s="260"/>
      <c r="L136" s="260"/>
      <c r="M136" s="260"/>
      <c r="N136" s="260"/>
      <c r="O136" s="260"/>
      <c r="P136" s="260"/>
      <c r="Q136" s="260"/>
      <c r="R136" s="260"/>
      <c r="S136" s="260"/>
      <c r="T136" s="260"/>
      <c r="U136" s="260"/>
      <c r="V136" s="260"/>
      <c r="W136" s="260"/>
      <c r="X136" s="260"/>
      <c r="Y136" s="260"/>
      <c r="Z136" s="260"/>
    </row>
    <row r="137" ht="13.5" customHeight="1">
      <c r="A137" s="260"/>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row>
    <row r="138" ht="13.5" customHeight="1">
      <c r="A138" s="260"/>
      <c r="B138" s="260"/>
      <c r="C138" s="260"/>
      <c r="D138" s="260"/>
      <c r="E138" s="260"/>
      <c r="F138" s="260"/>
      <c r="G138" s="260"/>
      <c r="H138" s="260"/>
      <c r="I138" s="260"/>
      <c r="J138" s="260"/>
      <c r="K138" s="260"/>
      <c r="L138" s="260"/>
      <c r="M138" s="260"/>
      <c r="N138" s="260"/>
      <c r="O138" s="260"/>
      <c r="P138" s="260"/>
      <c r="Q138" s="260"/>
      <c r="R138" s="260"/>
      <c r="S138" s="260"/>
      <c r="T138" s="260"/>
      <c r="U138" s="260"/>
      <c r="V138" s="260"/>
      <c r="W138" s="260"/>
      <c r="X138" s="260"/>
      <c r="Y138" s="260"/>
      <c r="Z138" s="260"/>
    </row>
    <row r="139" ht="13.5" customHeight="1">
      <c r="A139" s="260"/>
      <c r="B139" s="260"/>
      <c r="C139" s="260"/>
      <c r="D139" s="260"/>
      <c r="E139" s="260"/>
      <c r="F139" s="260"/>
      <c r="G139" s="260"/>
      <c r="H139" s="260"/>
      <c r="I139" s="260"/>
      <c r="J139" s="260"/>
      <c r="K139" s="260"/>
      <c r="L139" s="260"/>
      <c r="M139" s="260"/>
      <c r="N139" s="260"/>
      <c r="O139" s="260"/>
      <c r="P139" s="260"/>
      <c r="Q139" s="260"/>
      <c r="R139" s="260"/>
      <c r="S139" s="260"/>
      <c r="T139" s="260"/>
      <c r="U139" s="260"/>
      <c r="V139" s="260"/>
      <c r="W139" s="260"/>
      <c r="X139" s="260"/>
      <c r="Y139" s="260"/>
      <c r="Z139" s="260"/>
    </row>
    <row r="140" ht="13.5" customHeight="1">
      <c r="A140" s="260"/>
      <c r="B140" s="260"/>
      <c r="C140" s="260"/>
      <c r="D140" s="260"/>
      <c r="E140" s="260"/>
      <c r="F140" s="260"/>
      <c r="G140" s="260"/>
      <c r="H140" s="260"/>
      <c r="I140" s="260"/>
      <c r="J140" s="260"/>
      <c r="K140" s="260"/>
      <c r="L140" s="260"/>
      <c r="M140" s="260"/>
      <c r="N140" s="260"/>
      <c r="O140" s="260"/>
      <c r="P140" s="260"/>
      <c r="Q140" s="260"/>
      <c r="R140" s="260"/>
      <c r="S140" s="260"/>
      <c r="T140" s="260"/>
      <c r="U140" s="260"/>
      <c r="V140" s="260"/>
      <c r="W140" s="260"/>
      <c r="X140" s="260"/>
      <c r="Y140" s="260"/>
      <c r="Z140" s="260"/>
    </row>
    <row r="141" ht="13.5" customHeight="1">
      <c r="A141" s="260"/>
      <c r="B141" s="260"/>
      <c r="C141" s="260"/>
      <c r="D141" s="260"/>
      <c r="E141" s="260"/>
      <c r="F141" s="260"/>
      <c r="G141" s="260"/>
      <c r="H141" s="260"/>
      <c r="I141" s="260"/>
      <c r="J141" s="260"/>
      <c r="K141" s="260"/>
      <c r="L141" s="260"/>
      <c r="M141" s="260"/>
      <c r="N141" s="260"/>
      <c r="O141" s="260"/>
      <c r="P141" s="260"/>
      <c r="Q141" s="260"/>
      <c r="R141" s="260"/>
      <c r="S141" s="260"/>
      <c r="T141" s="260"/>
      <c r="U141" s="260"/>
      <c r="V141" s="260"/>
      <c r="W141" s="260"/>
      <c r="X141" s="260"/>
      <c r="Y141" s="260"/>
      <c r="Z141" s="260"/>
    </row>
    <row r="142" ht="13.5" customHeight="1">
      <c r="A142" s="260"/>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row>
    <row r="143" ht="13.5" customHeight="1">
      <c r="A143" s="260"/>
      <c r="B143" s="260"/>
      <c r="C143" s="260"/>
      <c r="D143" s="260"/>
      <c r="E143" s="260"/>
      <c r="F143" s="260"/>
      <c r="G143" s="260"/>
      <c r="H143" s="260"/>
      <c r="I143" s="260"/>
      <c r="J143" s="260"/>
      <c r="K143" s="260"/>
      <c r="L143" s="260"/>
      <c r="M143" s="260"/>
      <c r="N143" s="260"/>
      <c r="O143" s="260"/>
      <c r="P143" s="260"/>
      <c r="Q143" s="260"/>
      <c r="R143" s="260"/>
      <c r="S143" s="260"/>
      <c r="T143" s="260"/>
      <c r="U143" s="260"/>
      <c r="V143" s="260"/>
      <c r="W143" s="260"/>
      <c r="X143" s="260"/>
      <c r="Y143" s="260"/>
      <c r="Z143" s="260"/>
    </row>
    <row r="144" ht="13.5" customHeight="1">
      <c r="A144" s="260"/>
      <c r="B144" s="260"/>
      <c r="C144" s="260"/>
      <c r="D144" s="260"/>
      <c r="E144" s="260"/>
      <c r="F144" s="260"/>
      <c r="G144" s="260"/>
      <c r="H144" s="260"/>
      <c r="I144" s="260"/>
      <c r="J144" s="260"/>
      <c r="K144" s="260"/>
      <c r="L144" s="260"/>
      <c r="M144" s="260"/>
      <c r="N144" s="260"/>
      <c r="O144" s="260"/>
      <c r="P144" s="260"/>
      <c r="Q144" s="260"/>
      <c r="R144" s="260"/>
      <c r="S144" s="260"/>
      <c r="T144" s="260"/>
      <c r="U144" s="260"/>
      <c r="V144" s="260"/>
      <c r="W144" s="260"/>
      <c r="X144" s="260"/>
      <c r="Y144" s="260"/>
      <c r="Z144" s="260"/>
    </row>
    <row r="145" ht="13.5" customHeight="1">
      <c r="A145" s="260"/>
      <c r="B145" s="260"/>
      <c r="C145" s="260"/>
      <c r="D145" s="260"/>
      <c r="E145" s="260"/>
      <c r="F145" s="260"/>
      <c r="G145" s="260"/>
      <c r="H145" s="260"/>
      <c r="I145" s="260"/>
      <c r="J145" s="260"/>
      <c r="K145" s="260"/>
      <c r="L145" s="260"/>
      <c r="M145" s="260"/>
      <c r="N145" s="260"/>
      <c r="O145" s="260"/>
      <c r="P145" s="260"/>
      <c r="Q145" s="260"/>
      <c r="R145" s="260"/>
      <c r="S145" s="260"/>
      <c r="T145" s="260"/>
      <c r="U145" s="260"/>
      <c r="V145" s="260"/>
      <c r="W145" s="260"/>
      <c r="X145" s="260"/>
      <c r="Y145" s="260"/>
      <c r="Z145" s="260"/>
    </row>
    <row r="146" ht="13.5" customHeight="1">
      <c r="A146" s="260"/>
      <c r="B146" s="260"/>
      <c r="C146" s="260"/>
      <c r="D146" s="260"/>
      <c r="E146" s="260"/>
      <c r="F146" s="260"/>
      <c r="G146" s="260"/>
      <c r="H146" s="260"/>
      <c r="I146" s="260"/>
      <c r="J146" s="260"/>
      <c r="K146" s="260"/>
      <c r="L146" s="260"/>
      <c r="M146" s="260"/>
      <c r="N146" s="260"/>
      <c r="O146" s="260"/>
      <c r="P146" s="260"/>
      <c r="Q146" s="260"/>
      <c r="R146" s="260"/>
      <c r="S146" s="260"/>
      <c r="T146" s="260"/>
      <c r="U146" s="260"/>
      <c r="V146" s="260"/>
      <c r="W146" s="260"/>
      <c r="X146" s="260"/>
      <c r="Y146" s="260"/>
      <c r="Z146" s="260"/>
    </row>
    <row r="147" ht="13.5" customHeight="1">
      <c r="A147" s="260"/>
      <c r="B147" s="260"/>
      <c r="C147" s="260"/>
      <c r="D147" s="260"/>
      <c r="E147" s="260"/>
      <c r="F147" s="260"/>
      <c r="G147" s="260"/>
      <c r="H147" s="260"/>
      <c r="I147" s="260"/>
      <c r="J147" s="260"/>
      <c r="K147" s="260"/>
      <c r="L147" s="260"/>
      <c r="M147" s="260"/>
      <c r="N147" s="260"/>
      <c r="O147" s="260"/>
      <c r="P147" s="260"/>
      <c r="Q147" s="260"/>
      <c r="R147" s="260"/>
      <c r="S147" s="260"/>
      <c r="T147" s="260"/>
      <c r="U147" s="260"/>
      <c r="V147" s="260"/>
      <c r="W147" s="260"/>
      <c r="X147" s="260"/>
      <c r="Y147" s="260"/>
      <c r="Z147" s="260"/>
    </row>
    <row r="148" ht="13.5" customHeight="1">
      <c r="A148" s="260"/>
      <c r="B148" s="260"/>
      <c r="C148" s="260"/>
      <c r="D148" s="260"/>
      <c r="E148" s="260"/>
      <c r="F148" s="260"/>
      <c r="G148" s="260"/>
      <c r="H148" s="260"/>
      <c r="I148" s="260"/>
      <c r="J148" s="260"/>
      <c r="K148" s="260"/>
      <c r="L148" s="260"/>
      <c r="M148" s="260"/>
      <c r="N148" s="260"/>
      <c r="O148" s="260"/>
      <c r="P148" s="260"/>
      <c r="Q148" s="260"/>
      <c r="R148" s="260"/>
      <c r="S148" s="260"/>
      <c r="T148" s="260"/>
      <c r="U148" s="260"/>
      <c r="V148" s="260"/>
      <c r="W148" s="260"/>
      <c r="X148" s="260"/>
      <c r="Y148" s="260"/>
      <c r="Z148" s="260"/>
    </row>
    <row r="149" ht="13.5" customHeight="1">
      <c r="A149" s="260"/>
      <c r="B149" s="260"/>
      <c r="C149" s="260"/>
      <c r="D149" s="260"/>
      <c r="E149" s="260"/>
      <c r="F149" s="260"/>
      <c r="G149" s="260"/>
      <c r="H149" s="260"/>
      <c r="I149" s="260"/>
      <c r="J149" s="260"/>
      <c r="K149" s="260"/>
      <c r="L149" s="260"/>
      <c r="M149" s="260"/>
      <c r="N149" s="260"/>
      <c r="O149" s="260"/>
      <c r="P149" s="260"/>
      <c r="Q149" s="260"/>
      <c r="R149" s="260"/>
      <c r="S149" s="260"/>
      <c r="T149" s="260"/>
      <c r="U149" s="260"/>
      <c r="V149" s="260"/>
      <c r="W149" s="260"/>
      <c r="X149" s="260"/>
      <c r="Y149" s="260"/>
      <c r="Z149" s="260"/>
    </row>
    <row r="150" ht="13.5" customHeight="1">
      <c r="A150" s="260"/>
      <c r="B150" s="260"/>
      <c r="C150" s="260"/>
      <c r="D150" s="260"/>
      <c r="E150" s="260"/>
      <c r="F150" s="260"/>
      <c r="G150" s="260"/>
      <c r="H150" s="260"/>
      <c r="I150" s="260"/>
      <c r="J150" s="260"/>
      <c r="K150" s="260"/>
      <c r="L150" s="260"/>
      <c r="M150" s="260"/>
      <c r="N150" s="260"/>
      <c r="O150" s="260"/>
      <c r="P150" s="260"/>
      <c r="Q150" s="260"/>
      <c r="R150" s="260"/>
      <c r="S150" s="260"/>
      <c r="T150" s="260"/>
      <c r="U150" s="260"/>
      <c r="V150" s="260"/>
      <c r="W150" s="260"/>
      <c r="X150" s="260"/>
      <c r="Y150" s="260"/>
      <c r="Z150" s="260"/>
    </row>
    <row r="151" ht="13.5" customHeight="1">
      <c r="A151" s="260"/>
      <c r="B151" s="260"/>
      <c r="C151" s="260"/>
      <c r="D151" s="260"/>
      <c r="E151" s="260"/>
      <c r="F151" s="260"/>
      <c r="G151" s="260"/>
      <c r="H151" s="260"/>
      <c r="I151" s="260"/>
      <c r="J151" s="260"/>
      <c r="K151" s="260"/>
      <c r="L151" s="260"/>
      <c r="M151" s="260"/>
      <c r="N151" s="260"/>
      <c r="O151" s="260"/>
      <c r="P151" s="260"/>
      <c r="Q151" s="260"/>
      <c r="R151" s="260"/>
      <c r="S151" s="260"/>
      <c r="T151" s="260"/>
      <c r="U151" s="260"/>
      <c r="V151" s="260"/>
      <c r="W151" s="260"/>
      <c r="X151" s="260"/>
      <c r="Y151" s="260"/>
      <c r="Z151" s="260"/>
    </row>
    <row r="152" ht="13.5" customHeight="1">
      <c r="A152" s="260"/>
      <c r="B152" s="260"/>
      <c r="C152" s="260"/>
      <c r="D152" s="260"/>
      <c r="E152" s="260"/>
      <c r="F152" s="260"/>
      <c r="G152" s="260"/>
      <c r="H152" s="260"/>
      <c r="I152" s="260"/>
      <c r="J152" s="260"/>
      <c r="K152" s="260"/>
      <c r="L152" s="260"/>
      <c r="M152" s="260"/>
      <c r="N152" s="260"/>
      <c r="O152" s="260"/>
      <c r="P152" s="260"/>
      <c r="Q152" s="260"/>
      <c r="R152" s="260"/>
      <c r="S152" s="260"/>
      <c r="T152" s="260"/>
      <c r="U152" s="260"/>
      <c r="V152" s="260"/>
      <c r="W152" s="260"/>
      <c r="X152" s="260"/>
      <c r="Y152" s="260"/>
      <c r="Z152" s="260"/>
    </row>
    <row r="153" ht="13.5" customHeight="1">
      <c r="A153" s="260"/>
      <c r="B153" s="260"/>
      <c r="C153" s="260"/>
      <c r="D153" s="260"/>
      <c r="E153" s="260"/>
      <c r="F153" s="260"/>
      <c r="G153" s="260"/>
      <c r="H153" s="260"/>
      <c r="I153" s="260"/>
      <c r="J153" s="260"/>
      <c r="K153" s="260"/>
      <c r="L153" s="260"/>
      <c r="M153" s="260"/>
      <c r="N153" s="260"/>
      <c r="O153" s="260"/>
      <c r="P153" s="260"/>
      <c r="Q153" s="260"/>
      <c r="R153" s="260"/>
      <c r="S153" s="260"/>
      <c r="T153" s="260"/>
      <c r="U153" s="260"/>
      <c r="V153" s="260"/>
      <c r="W153" s="260"/>
      <c r="X153" s="260"/>
      <c r="Y153" s="260"/>
      <c r="Z153" s="260"/>
    </row>
    <row r="154" ht="13.5" customHeight="1">
      <c r="A154" s="260"/>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row>
    <row r="155" ht="13.5" customHeight="1">
      <c r="A155" s="260"/>
      <c r="B155" s="260"/>
      <c r="C155" s="260"/>
      <c r="D155" s="260"/>
      <c r="E155" s="260"/>
      <c r="F155" s="260"/>
      <c r="G155" s="260"/>
      <c r="H155" s="260"/>
      <c r="I155" s="260"/>
      <c r="J155" s="260"/>
      <c r="K155" s="260"/>
      <c r="L155" s="260"/>
      <c r="M155" s="260"/>
      <c r="N155" s="260"/>
      <c r="O155" s="260"/>
      <c r="P155" s="260"/>
      <c r="Q155" s="260"/>
      <c r="R155" s="260"/>
      <c r="S155" s="260"/>
      <c r="T155" s="260"/>
      <c r="U155" s="260"/>
      <c r="V155" s="260"/>
      <c r="W155" s="260"/>
      <c r="X155" s="260"/>
      <c r="Y155" s="260"/>
      <c r="Z155" s="260"/>
    </row>
    <row r="156" ht="13.5" customHeight="1">
      <c r="A156" s="260"/>
      <c r="B156" s="260"/>
      <c r="C156" s="260"/>
      <c r="D156" s="260"/>
      <c r="E156" s="260"/>
      <c r="F156" s="260"/>
      <c r="G156" s="260"/>
      <c r="H156" s="260"/>
      <c r="I156" s="260"/>
      <c r="J156" s="260"/>
      <c r="K156" s="260"/>
      <c r="L156" s="260"/>
      <c r="M156" s="260"/>
      <c r="N156" s="260"/>
      <c r="O156" s="260"/>
      <c r="P156" s="260"/>
      <c r="Q156" s="260"/>
      <c r="R156" s="260"/>
      <c r="S156" s="260"/>
      <c r="T156" s="260"/>
      <c r="U156" s="260"/>
      <c r="V156" s="260"/>
      <c r="W156" s="260"/>
      <c r="X156" s="260"/>
      <c r="Y156" s="260"/>
      <c r="Z156" s="260"/>
    </row>
    <row r="157" ht="13.5" customHeight="1">
      <c r="A157" s="260"/>
      <c r="B157" s="260"/>
      <c r="C157" s="260"/>
      <c r="D157" s="260"/>
      <c r="E157" s="260"/>
      <c r="F157" s="260"/>
      <c r="G157" s="260"/>
      <c r="H157" s="260"/>
      <c r="I157" s="260"/>
      <c r="J157" s="260"/>
      <c r="K157" s="260"/>
      <c r="L157" s="260"/>
      <c r="M157" s="260"/>
      <c r="N157" s="260"/>
      <c r="O157" s="260"/>
      <c r="P157" s="260"/>
      <c r="Q157" s="260"/>
      <c r="R157" s="260"/>
      <c r="S157" s="260"/>
      <c r="T157" s="260"/>
      <c r="U157" s="260"/>
      <c r="V157" s="260"/>
      <c r="W157" s="260"/>
      <c r="X157" s="260"/>
      <c r="Y157" s="260"/>
      <c r="Z157" s="260"/>
    </row>
    <row r="158" ht="13.5" customHeight="1">
      <c r="A158" s="260"/>
      <c r="B158" s="260"/>
      <c r="C158" s="260"/>
      <c r="D158" s="260"/>
      <c r="E158" s="260"/>
      <c r="F158" s="260"/>
      <c r="G158" s="260"/>
      <c r="H158" s="260"/>
      <c r="I158" s="260"/>
      <c r="J158" s="260"/>
      <c r="K158" s="260"/>
      <c r="L158" s="260"/>
      <c r="M158" s="260"/>
      <c r="N158" s="260"/>
      <c r="O158" s="260"/>
      <c r="P158" s="260"/>
      <c r="Q158" s="260"/>
      <c r="R158" s="260"/>
      <c r="S158" s="260"/>
      <c r="T158" s="260"/>
      <c r="U158" s="260"/>
      <c r="V158" s="260"/>
      <c r="W158" s="260"/>
      <c r="X158" s="260"/>
      <c r="Y158" s="260"/>
      <c r="Z158" s="260"/>
    </row>
    <row r="159" ht="13.5" customHeight="1">
      <c r="A159" s="260"/>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row>
    <row r="160" ht="13.5" customHeight="1">
      <c r="A160" s="260"/>
      <c r="B160" s="260"/>
      <c r="C160" s="260"/>
      <c r="D160" s="260"/>
      <c r="E160" s="260"/>
      <c r="F160" s="260"/>
      <c r="G160" s="260"/>
      <c r="H160" s="260"/>
      <c r="I160" s="260"/>
      <c r="J160" s="260"/>
      <c r="K160" s="260"/>
      <c r="L160" s="260"/>
      <c r="M160" s="260"/>
      <c r="N160" s="260"/>
      <c r="O160" s="260"/>
      <c r="P160" s="260"/>
      <c r="Q160" s="260"/>
      <c r="R160" s="260"/>
      <c r="S160" s="260"/>
      <c r="T160" s="260"/>
      <c r="U160" s="260"/>
      <c r="V160" s="260"/>
      <c r="W160" s="260"/>
      <c r="X160" s="260"/>
      <c r="Y160" s="260"/>
      <c r="Z160" s="260"/>
    </row>
    <row r="161" ht="13.5" customHeight="1">
      <c r="A161" s="260"/>
      <c r="B161" s="260"/>
      <c r="C161" s="260"/>
      <c r="D161" s="260"/>
      <c r="E161" s="260"/>
      <c r="F161" s="260"/>
      <c r="G161" s="260"/>
      <c r="H161" s="260"/>
      <c r="I161" s="260"/>
      <c r="J161" s="260"/>
      <c r="K161" s="260"/>
      <c r="L161" s="260"/>
      <c r="M161" s="260"/>
      <c r="N161" s="260"/>
      <c r="O161" s="260"/>
      <c r="P161" s="260"/>
      <c r="Q161" s="260"/>
      <c r="R161" s="260"/>
      <c r="S161" s="260"/>
      <c r="T161" s="260"/>
      <c r="U161" s="260"/>
      <c r="V161" s="260"/>
      <c r="W161" s="260"/>
      <c r="X161" s="260"/>
      <c r="Y161" s="260"/>
      <c r="Z161" s="260"/>
    </row>
    <row r="162" ht="13.5" customHeight="1">
      <c r="A162" s="260"/>
      <c r="B162" s="260"/>
      <c r="C162" s="260"/>
      <c r="D162" s="260"/>
      <c r="E162" s="260"/>
      <c r="F162" s="260"/>
      <c r="G162" s="260"/>
      <c r="H162" s="260"/>
      <c r="I162" s="260"/>
      <c r="J162" s="260"/>
      <c r="K162" s="260"/>
      <c r="L162" s="260"/>
      <c r="M162" s="260"/>
      <c r="N162" s="260"/>
      <c r="O162" s="260"/>
      <c r="P162" s="260"/>
      <c r="Q162" s="260"/>
      <c r="R162" s="260"/>
      <c r="S162" s="260"/>
      <c r="T162" s="260"/>
      <c r="U162" s="260"/>
      <c r="V162" s="260"/>
      <c r="W162" s="260"/>
      <c r="X162" s="260"/>
      <c r="Y162" s="260"/>
      <c r="Z162" s="260"/>
    </row>
    <row r="163" ht="13.5" customHeight="1">
      <c r="A163" s="260"/>
      <c r="B163" s="260"/>
      <c r="C163" s="260"/>
      <c r="D163" s="260"/>
      <c r="E163" s="260"/>
      <c r="F163" s="260"/>
      <c r="G163" s="260"/>
      <c r="H163" s="260"/>
      <c r="I163" s="260"/>
      <c r="J163" s="260"/>
      <c r="K163" s="260"/>
      <c r="L163" s="260"/>
      <c r="M163" s="260"/>
      <c r="N163" s="260"/>
      <c r="O163" s="260"/>
      <c r="P163" s="260"/>
      <c r="Q163" s="260"/>
      <c r="R163" s="260"/>
      <c r="S163" s="260"/>
      <c r="T163" s="260"/>
      <c r="U163" s="260"/>
      <c r="V163" s="260"/>
      <c r="W163" s="260"/>
      <c r="X163" s="260"/>
      <c r="Y163" s="260"/>
      <c r="Z163" s="260"/>
    </row>
    <row r="164" ht="13.5" customHeight="1">
      <c r="A164" s="260"/>
      <c r="B164" s="260"/>
      <c r="C164" s="260"/>
      <c r="D164" s="260"/>
      <c r="E164" s="260"/>
      <c r="F164" s="260"/>
      <c r="G164" s="260"/>
      <c r="H164" s="260"/>
      <c r="I164" s="260"/>
      <c r="J164" s="260"/>
      <c r="K164" s="260"/>
      <c r="L164" s="260"/>
      <c r="M164" s="260"/>
      <c r="N164" s="260"/>
      <c r="O164" s="260"/>
      <c r="P164" s="260"/>
      <c r="Q164" s="260"/>
      <c r="R164" s="260"/>
      <c r="S164" s="260"/>
      <c r="T164" s="260"/>
      <c r="U164" s="260"/>
      <c r="V164" s="260"/>
      <c r="W164" s="260"/>
      <c r="X164" s="260"/>
      <c r="Y164" s="260"/>
      <c r="Z164" s="260"/>
    </row>
    <row r="165" ht="13.5" customHeight="1">
      <c r="A165" s="260"/>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row>
    <row r="166" ht="13.5" customHeight="1">
      <c r="A166" s="260"/>
      <c r="B166" s="260"/>
      <c r="C166" s="260"/>
      <c r="D166" s="260"/>
      <c r="E166" s="260"/>
      <c r="F166" s="260"/>
      <c r="G166" s="260"/>
      <c r="H166" s="260"/>
      <c r="I166" s="260"/>
      <c r="J166" s="260"/>
      <c r="K166" s="260"/>
      <c r="L166" s="260"/>
      <c r="M166" s="260"/>
      <c r="N166" s="260"/>
      <c r="O166" s="260"/>
      <c r="P166" s="260"/>
      <c r="Q166" s="260"/>
      <c r="R166" s="260"/>
      <c r="S166" s="260"/>
      <c r="T166" s="260"/>
      <c r="U166" s="260"/>
      <c r="V166" s="260"/>
      <c r="W166" s="260"/>
      <c r="X166" s="260"/>
      <c r="Y166" s="260"/>
      <c r="Z166" s="260"/>
    </row>
    <row r="167" ht="13.5" customHeight="1">
      <c r="A167" s="260"/>
      <c r="B167" s="260"/>
      <c r="C167" s="260"/>
      <c r="D167" s="260"/>
      <c r="E167" s="260"/>
      <c r="F167" s="260"/>
      <c r="G167" s="260"/>
      <c r="H167" s="260"/>
      <c r="I167" s="260"/>
      <c r="J167" s="260"/>
      <c r="K167" s="260"/>
      <c r="L167" s="260"/>
      <c r="M167" s="260"/>
      <c r="N167" s="260"/>
      <c r="O167" s="260"/>
      <c r="P167" s="260"/>
      <c r="Q167" s="260"/>
      <c r="R167" s="260"/>
      <c r="S167" s="260"/>
      <c r="T167" s="260"/>
      <c r="U167" s="260"/>
      <c r="V167" s="260"/>
      <c r="W167" s="260"/>
      <c r="X167" s="260"/>
      <c r="Y167" s="260"/>
      <c r="Z167" s="260"/>
    </row>
    <row r="168" ht="13.5" customHeight="1">
      <c r="A168" s="260"/>
      <c r="B168" s="260"/>
      <c r="C168" s="260"/>
      <c r="D168" s="260"/>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row>
    <row r="169" ht="13.5" customHeight="1">
      <c r="A169" s="260"/>
      <c r="B169" s="260"/>
      <c r="C169" s="260"/>
      <c r="D169" s="260"/>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row>
    <row r="170" ht="13.5" customHeight="1">
      <c r="A170" s="260"/>
      <c r="B170" s="260"/>
      <c r="C170" s="260"/>
      <c r="D170" s="260"/>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row>
    <row r="171" ht="13.5" customHeight="1">
      <c r="A171" s="260"/>
      <c r="B171" s="260"/>
      <c r="C171" s="260"/>
      <c r="D171" s="260"/>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row>
    <row r="172" ht="13.5" customHeight="1">
      <c r="A172" s="260"/>
      <c r="B172" s="260"/>
      <c r="C172" s="260"/>
      <c r="D172" s="260"/>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row>
    <row r="173" ht="13.5" customHeight="1">
      <c r="A173" s="260"/>
      <c r="B173" s="260"/>
      <c r="C173" s="260"/>
      <c r="D173" s="260"/>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row>
    <row r="174" ht="13.5" customHeight="1">
      <c r="A174" s="260"/>
      <c r="B174" s="260"/>
      <c r="C174" s="260"/>
      <c r="D174" s="260"/>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row>
    <row r="175" ht="13.5" customHeight="1">
      <c r="A175" s="260"/>
      <c r="B175" s="260"/>
      <c r="C175" s="260"/>
      <c r="D175" s="260"/>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row>
    <row r="176" ht="13.5" customHeight="1">
      <c r="A176" s="260"/>
      <c r="B176" s="260"/>
      <c r="C176" s="260"/>
      <c r="D176" s="260"/>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row>
    <row r="177" ht="13.5" customHeight="1">
      <c r="A177" s="260"/>
      <c r="B177" s="260"/>
      <c r="C177" s="260"/>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row>
    <row r="178" ht="13.5" customHeight="1">
      <c r="A178" s="260"/>
      <c r="B178" s="260"/>
      <c r="C178" s="260"/>
      <c r="D178" s="260"/>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row>
    <row r="179" ht="13.5" customHeight="1">
      <c r="A179" s="260"/>
      <c r="B179" s="260"/>
      <c r="C179" s="260"/>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row>
    <row r="180" ht="13.5" customHeight="1">
      <c r="A180" s="260"/>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row>
    <row r="181" ht="13.5" customHeight="1">
      <c r="A181" s="260"/>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row>
    <row r="182" ht="13.5" customHeight="1">
      <c r="A182" s="260"/>
      <c r="B182" s="260"/>
      <c r="C182" s="260"/>
      <c r="D182" s="260"/>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row>
    <row r="183" ht="13.5" customHeight="1">
      <c r="A183" s="260"/>
      <c r="B183" s="260"/>
      <c r="C183" s="260"/>
      <c r="D183" s="260"/>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row>
    <row r="184" ht="13.5" customHeight="1">
      <c r="A184" s="260"/>
      <c r="B184" s="260"/>
      <c r="C184" s="260"/>
      <c r="D184" s="260"/>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row>
    <row r="185" ht="13.5" customHeight="1">
      <c r="A185" s="260"/>
      <c r="B185" s="260"/>
      <c r="C185" s="260"/>
      <c r="D185" s="260"/>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row>
    <row r="186" ht="13.5" customHeight="1">
      <c r="A186" s="260"/>
      <c r="B186" s="260"/>
      <c r="C186" s="260"/>
      <c r="D186" s="260"/>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row>
    <row r="187" ht="13.5" customHeight="1">
      <c r="A187" s="260"/>
      <c r="B187" s="260"/>
      <c r="C187" s="260"/>
      <c r="D187" s="260"/>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row>
    <row r="188" ht="13.5" customHeight="1">
      <c r="A188" s="260"/>
      <c r="B188" s="260"/>
      <c r="C188" s="260"/>
      <c r="D188" s="260"/>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row>
    <row r="189" ht="13.5" customHeight="1">
      <c r="A189" s="260"/>
      <c r="B189" s="260"/>
      <c r="C189" s="260"/>
      <c r="D189" s="260"/>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row>
    <row r="190" ht="13.5" customHeight="1">
      <c r="A190" s="260"/>
      <c r="B190" s="260"/>
      <c r="C190" s="260"/>
      <c r="D190" s="260"/>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row>
    <row r="191" ht="13.5" customHeight="1">
      <c r="A191" s="260"/>
      <c r="B191" s="260"/>
      <c r="C191" s="260"/>
      <c r="D191" s="260"/>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row>
    <row r="192" ht="13.5" customHeight="1">
      <c r="A192" s="260"/>
      <c r="B192" s="260"/>
      <c r="C192" s="260"/>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row>
    <row r="193" ht="13.5" customHeight="1">
      <c r="A193" s="260"/>
      <c r="B193" s="260"/>
      <c r="C193" s="260"/>
      <c r="D193" s="260"/>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row>
    <row r="194" ht="13.5" customHeight="1">
      <c r="A194" s="260"/>
      <c r="B194" s="260"/>
      <c r="C194" s="260"/>
      <c r="D194" s="260"/>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row>
    <row r="195" ht="13.5" customHeight="1">
      <c r="A195" s="260"/>
      <c r="B195" s="260"/>
      <c r="C195" s="260"/>
      <c r="D195" s="260"/>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row>
    <row r="196" ht="13.5" customHeight="1">
      <c r="A196" s="260"/>
      <c r="B196" s="260"/>
      <c r="C196" s="260"/>
      <c r="D196" s="260"/>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row>
    <row r="197" ht="13.5" customHeight="1">
      <c r="A197" s="260"/>
      <c r="B197" s="260"/>
      <c r="C197" s="260"/>
      <c r="D197" s="260"/>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row>
    <row r="198" ht="13.5" customHeight="1">
      <c r="A198" s="260"/>
      <c r="B198" s="260"/>
      <c r="C198" s="260"/>
      <c r="D198" s="260"/>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row>
    <row r="199" ht="13.5" customHeight="1">
      <c r="A199" s="260"/>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row>
    <row r="200" ht="13.5" customHeight="1">
      <c r="A200" s="260"/>
      <c r="B200" s="260"/>
      <c r="C200" s="260"/>
      <c r="D200" s="260"/>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row>
    <row r="201" ht="13.5" customHeight="1">
      <c r="A201" s="260"/>
      <c r="B201" s="260"/>
      <c r="C201" s="260"/>
      <c r="D201" s="260"/>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row>
    <row r="202" ht="13.5" customHeight="1">
      <c r="A202" s="260"/>
      <c r="B202" s="260"/>
      <c r="C202" s="260"/>
      <c r="D202" s="260"/>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row>
    <row r="203" ht="13.5" customHeight="1">
      <c r="A203" s="260"/>
      <c r="B203" s="260"/>
      <c r="C203" s="260"/>
      <c r="D203" s="260"/>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row>
    <row r="204" ht="13.5" customHeight="1">
      <c r="A204" s="260"/>
      <c r="B204" s="260"/>
      <c r="C204" s="260"/>
      <c r="D204" s="260"/>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row>
    <row r="205" ht="13.5" customHeight="1">
      <c r="A205" s="260"/>
      <c r="B205" s="260"/>
      <c r="C205" s="260"/>
      <c r="D205" s="260"/>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row>
    <row r="206" ht="13.5" customHeight="1">
      <c r="A206" s="260"/>
      <c r="B206" s="260"/>
      <c r="C206" s="260"/>
      <c r="D206" s="260"/>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row>
    <row r="207" ht="13.5" customHeight="1">
      <c r="A207" s="260"/>
      <c r="B207" s="260"/>
      <c r="C207" s="260"/>
      <c r="D207" s="260"/>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row>
    <row r="208" ht="13.5" customHeight="1">
      <c r="A208" s="260"/>
      <c r="B208" s="260"/>
      <c r="C208" s="260"/>
      <c r="D208" s="260"/>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row>
    <row r="209" ht="13.5" customHeight="1">
      <c r="A209" s="260"/>
      <c r="B209" s="260"/>
      <c r="C209" s="260"/>
      <c r="D209" s="260"/>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row>
    <row r="210" ht="13.5" customHeight="1">
      <c r="A210" s="260"/>
      <c r="B210" s="260"/>
      <c r="C210" s="260"/>
      <c r="D210" s="260"/>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row>
    <row r="211" ht="13.5" customHeight="1">
      <c r="A211" s="260"/>
      <c r="B211" s="260"/>
      <c r="C211" s="260"/>
      <c r="D211" s="260"/>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row>
    <row r="212" ht="13.5" customHeight="1">
      <c r="A212" s="260"/>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row>
    <row r="213" ht="13.5" customHeight="1">
      <c r="A213" s="260"/>
      <c r="B213" s="260"/>
      <c r="C213" s="260"/>
      <c r="D213" s="260"/>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row>
    <row r="214" ht="13.5" customHeight="1">
      <c r="A214" s="260"/>
      <c r="B214" s="260"/>
      <c r="C214" s="260"/>
      <c r="D214" s="260"/>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row>
    <row r="215" ht="13.5" customHeight="1">
      <c r="A215" s="260"/>
      <c r="B215" s="260"/>
      <c r="C215" s="260"/>
      <c r="D215" s="260"/>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row>
    <row r="216" ht="13.5" customHeight="1">
      <c r="A216" s="260"/>
      <c r="B216" s="260"/>
      <c r="C216" s="260"/>
      <c r="D216" s="260"/>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row>
    <row r="217" ht="13.5" customHeight="1">
      <c r="A217" s="260"/>
      <c r="B217" s="260"/>
      <c r="C217" s="260"/>
      <c r="D217" s="260"/>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row>
    <row r="218" ht="13.5" customHeight="1">
      <c r="A218" s="260"/>
      <c r="B218" s="260"/>
      <c r="C218" s="260"/>
      <c r="D218" s="260"/>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row>
    <row r="219" ht="13.5" customHeight="1">
      <c r="A219" s="260"/>
      <c r="B219" s="260"/>
      <c r="C219" s="260"/>
      <c r="D219" s="260"/>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row>
    <row r="220" ht="13.5" customHeight="1">
      <c r="A220" s="260"/>
      <c r="B220" s="260"/>
      <c r="C220" s="260"/>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row>
    <row r="221" ht="13.5" customHeight="1">
      <c r="A221" s="260"/>
      <c r="B221" s="260"/>
      <c r="C221" s="260"/>
      <c r="D221" s="260"/>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row>
    <row r="222" ht="13.5" customHeight="1">
      <c r="A222" s="260"/>
      <c r="B222" s="260"/>
      <c r="C222" s="260"/>
      <c r="D222" s="260"/>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row>
    <row r="223" ht="13.5" customHeight="1">
      <c r="A223" s="260"/>
      <c r="B223" s="260"/>
      <c r="C223" s="260"/>
      <c r="D223" s="260"/>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row>
    <row r="224" ht="13.5" customHeight="1">
      <c r="A224" s="260"/>
      <c r="B224" s="260"/>
      <c r="C224" s="260"/>
      <c r="D224" s="260"/>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row>
    <row r="225" ht="13.5" customHeight="1">
      <c r="A225" s="260"/>
      <c r="B225" s="260"/>
      <c r="C225" s="260"/>
      <c r="D225" s="260"/>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row>
    <row r="226" ht="13.5" customHeight="1">
      <c r="A226" s="260"/>
      <c r="B226" s="260"/>
      <c r="C226" s="260"/>
      <c r="D226" s="260"/>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row>
    <row r="227" ht="13.5" customHeight="1">
      <c r="A227" s="260"/>
      <c r="B227" s="260"/>
      <c r="C227" s="260"/>
      <c r="D227" s="260"/>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row>
    <row r="228" ht="13.5" customHeight="1">
      <c r="A228" s="260"/>
      <c r="B228" s="260"/>
      <c r="C228" s="260"/>
      <c r="D228" s="260"/>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row>
    <row r="229" ht="13.5" customHeight="1">
      <c r="A229" s="260"/>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row>
    <row r="230" ht="13.5" customHeight="1">
      <c r="A230" s="260"/>
      <c r="B230" s="260"/>
      <c r="C230" s="260"/>
      <c r="D230" s="260"/>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row>
    <row r="231" ht="13.5" customHeight="1">
      <c r="A231" s="260"/>
      <c r="B231" s="260"/>
      <c r="C231" s="260"/>
      <c r="D231" s="260"/>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row>
    <row r="232" ht="13.5" customHeight="1">
      <c r="A232" s="260"/>
      <c r="B232" s="260"/>
      <c r="C232" s="260"/>
      <c r="D232" s="260"/>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H4:J5"/>
    <mergeCell ref="K4:N5"/>
    <mergeCell ref="P25:S25"/>
    <mergeCell ref="O29:P29"/>
    <mergeCell ref="O30:P30"/>
    <mergeCell ref="B7:B8"/>
    <mergeCell ref="C7:C8"/>
    <mergeCell ref="D7:M7"/>
    <mergeCell ref="P7:P8"/>
    <mergeCell ref="Q7:Q8"/>
    <mergeCell ref="R7:R8"/>
    <mergeCell ref="B2:N2"/>
    <mergeCell ref="B3:D3"/>
    <mergeCell ref="E3:G3"/>
    <mergeCell ref="H3:J3"/>
    <mergeCell ref="K3:N3"/>
    <mergeCell ref="B4:D5"/>
    <mergeCell ref="E4:G5"/>
  </mergeCells>
  <printOptions/>
  <pageMargins bottom="0.75" footer="0.0" header="0.0" left="0.7" right="0.7" top="0.75"/>
  <pageSetup orientation="landscape"/>
  <drawing r:id="rId1"/>
</worksheet>
</file>